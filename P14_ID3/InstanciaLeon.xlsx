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DCI-AplicacionTecnologiaAvanzada/P14_ID3/"/>
    </mc:Choice>
  </mc:AlternateContent>
  <xr:revisionPtr revIDLastSave="0" documentId="13_ncr:9_{203D7ECD-BC04-1040-921A-390C539EF5C0}" xr6:coauthVersionLast="47" xr6:coauthVersionMax="47" xr10:uidLastSave="{00000000-0000-0000-0000-000000000000}"/>
  <bookViews>
    <workbookView xWindow="4560" yWindow="660" windowWidth="25440" windowHeight="14760" xr2:uid="{B9699744-3330-8E47-A825-D9F09116D48F}"/>
  </bookViews>
  <sheets>
    <sheet name="InstanciaLeon" sheetId="1" r:id="rId1"/>
    <sheet name="TamGrande" sheetId="2" r:id="rId2"/>
    <sheet name="TamMediano" sheetId="3" r:id="rId3"/>
    <sheet name="TamPequeno" sheetId="4" r:id="rId4"/>
  </sheets>
  <definedNames>
    <definedName name="_xlnm._FilterDatabase" localSheetId="1" hidden="1">TamGrande!$A$1:$D$9</definedName>
    <definedName name="_xlnm._FilterDatabase" localSheetId="2" hidden="1">TamMediano!$A$1:$D$9</definedName>
    <definedName name="_xlnm._FilterDatabase" localSheetId="3" hidden="1">TamPequeno!$A$1:$D$9</definedName>
  </definedNames>
  <calcPr calcId="0"/>
</workbook>
</file>

<file path=xl/calcChain.xml><?xml version="1.0" encoding="utf-8"?>
<calcChain xmlns="http://schemas.openxmlformats.org/spreadsheetml/2006/main">
  <c r="U15" i="2" l="1"/>
  <c r="Q30" i="4"/>
  <c r="T29" i="4"/>
  <c r="Q29" i="4"/>
  <c r="T27" i="4"/>
  <c r="Q27" i="4"/>
  <c r="K27" i="4"/>
  <c r="D27" i="4"/>
  <c r="Q26" i="4"/>
  <c r="K26" i="4"/>
  <c r="G26" i="4"/>
  <c r="D26" i="4"/>
  <c r="Q24" i="4"/>
  <c r="K24" i="4"/>
  <c r="D24" i="4"/>
  <c r="Q23" i="4"/>
  <c r="K23" i="4"/>
  <c r="D23" i="4"/>
  <c r="P17" i="4"/>
  <c r="U16" i="4"/>
  <c r="P16" i="4"/>
  <c r="J16" i="4"/>
  <c r="C16" i="4"/>
  <c r="U15" i="4"/>
  <c r="P15" i="4"/>
  <c r="J15" i="4"/>
  <c r="C15" i="4"/>
  <c r="Q30" i="3"/>
  <c r="T29" i="3"/>
  <c r="Q29" i="3"/>
  <c r="Q31" i="3" s="1"/>
  <c r="R29" i="3" s="1"/>
  <c r="T27" i="3"/>
  <c r="Q27" i="3"/>
  <c r="K27" i="3"/>
  <c r="D27" i="3"/>
  <c r="Q26" i="3"/>
  <c r="K26" i="3"/>
  <c r="G26" i="3"/>
  <c r="D26" i="3"/>
  <c r="Q24" i="3"/>
  <c r="K24" i="3"/>
  <c r="D24" i="3"/>
  <c r="Q23" i="3"/>
  <c r="K23" i="3"/>
  <c r="D23" i="3"/>
  <c r="P17" i="3"/>
  <c r="U16" i="3"/>
  <c r="P16" i="3"/>
  <c r="J16" i="3"/>
  <c r="C16" i="3"/>
  <c r="U15" i="3"/>
  <c r="P15" i="3"/>
  <c r="J15" i="3"/>
  <c r="C15" i="3"/>
  <c r="K27" i="2"/>
  <c r="D27" i="2"/>
  <c r="K26" i="2"/>
  <c r="G26" i="2"/>
  <c r="D26" i="2"/>
  <c r="K24" i="2"/>
  <c r="D24" i="2"/>
  <c r="K23" i="2"/>
  <c r="K25" i="2" s="1"/>
  <c r="D23" i="2"/>
  <c r="U16" i="2"/>
  <c r="J16" i="2"/>
  <c r="C16" i="2"/>
  <c r="J15" i="2"/>
  <c r="C15" i="2"/>
  <c r="E45" i="1"/>
  <c r="E42" i="1"/>
  <c r="E39" i="1"/>
  <c r="C45" i="1"/>
  <c r="C42" i="1"/>
  <c r="C39" i="1"/>
  <c r="T29" i="1"/>
  <c r="T27" i="1"/>
  <c r="G26" i="1"/>
  <c r="S30" i="1"/>
  <c r="R30" i="1"/>
  <c r="R29" i="1"/>
  <c r="R27" i="1"/>
  <c r="R26" i="1"/>
  <c r="S26" i="1" s="1"/>
  <c r="R23" i="1"/>
  <c r="L27" i="1"/>
  <c r="M27" i="1" s="1"/>
  <c r="L26" i="1"/>
  <c r="M26" i="1" s="1"/>
  <c r="L24" i="1"/>
  <c r="L23" i="1"/>
  <c r="R24" i="1"/>
  <c r="S24" i="1" s="1"/>
  <c r="S23" i="1"/>
  <c r="M24" i="1"/>
  <c r="M23" i="1"/>
  <c r="F27" i="1"/>
  <c r="E27" i="1"/>
  <c r="E26" i="1"/>
  <c r="F24" i="1"/>
  <c r="E24" i="1"/>
  <c r="E23" i="1"/>
  <c r="F23" i="1"/>
  <c r="K28" i="1"/>
  <c r="K25" i="1"/>
  <c r="D25" i="1"/>
  <c r="C15" i="1"/>
  <c r="D28" i="1"/>
  <c r="U16" i="1"/>
  <c r="U15" i="1"/>
  <c r="Q30" i="1"/>
  <c r="Q29" i="1"/>
  <c r="Q31" i="1" s="1"/>
  <c r="Q27" i="1"/>
  <c r="Q26" i="1"/>
  <c r="Q28" i="1" s="1"/>
  <c r="Q24" i="1"/>
  <c r="Q23" i="1"/>
  <c r="Q25" i="1" s="1"/>
  <c r="P16" i="1"/>
  <c r="P17" i="1"/>
  <c r="P15" i="1"/>
  <c r="K27" i="1"/>
  <c r="K26" i="1"/>
  <c r="K24" i="1"/>
  <c r="K23" i="1"/>
  <c r="J16" i="1"/>
  <c r="J15" i="1"/>
  <c r="D27" i="1"/>
  <c r="D26" i="1"/>
  <c r="D24" i="1"/>
  <c r="D23" i="1"/>
  <c r="C16" i="1"/>
  <c r="Q31" i="4" l="1"/>
  <c r="Q28" i="4"/>
  <c r="K28" i="4"/>
  <c r="D28" i="4"/>
  <c r="K25" i="4"/>
  <c r="D25" i="4"/>
  <c r="Q25" i="4"/>
  <c r="R24" i="4" s="1"/>
  <c r="S24" i="4" s="1"/>
  <c r="R23" i="4"/>
  <c r="S23" i="4" s="1"/>
  <c r="U17" i="4"/>
  <c r="C33" i="4" s="1"/>
  <c r="P18" i="4"/>
  <c r="Q15" i="4" s="1"/>
  <c r="J17" i="4"/>
  <c r="C17" i="4"/>
  <c r="Q28" i="3"/>
  <c r="R26" i="3" s="1"/>
  <c r="S26" i="3" s="1"/>
  <c r="R27" i="3"/>
  <c r="K28" i="3"/>
  <c r="D28" i="3"/>
  <c r="E27" i="3" s="1"/>
  <c r="F27" i="3" s="1"/>
  <c r="E26" i="3"/>
  <c r="Q25" i="3"/>
  <c r="R24" i="3" s="1"/>
  <c r="S24" i="3" s="1"/>
  <c r="R23" i="3"/>
  <c r="S23" i="3" s="1"/>
  <c r="K25" i="3"/>
  <c r="D25" i="3"/>
  <c r="U17" i="3"/>
  <c r="V16" i="3" s="1"/>
  <c r="W16" i="3" s="1"/>
  <c r="V15" i="3"/>
  <c r="C33" i="3"/>
  <c r="P18" i="3"/>
  <c r="Q15" i="3" s="1"/>
  <c r="J17" i="3"/>
  <c r="C17" i="3"/>
  <c r="R30" i="3"/>
  <c r="S30" i="3" s="1"/>
  <c r="L23" i="2"/>
  <c r="M23" i="2" s="1"/>
  <c r="L24" i="2"/>
  <c r="M24" i="2" s="1"/>
  <c r="K28" i="2"/>
  <c r="D28" i="2"/>
  <c r="D25" i="2"/>
  <c r="U17" i="2"/>
  <c r="V15" i="2" s="1"/>
  <c r="J17" i="2"/>
  <c r="C17" i="2"/>
  <c r="P18" i="1"/>
  <c r="C17" i="1"/>
  <c r="J17" i="1"/>
  <c r="U17" i="1"/>
  <c r="R30" i="4" l="1"/>
  <c r="S30" i="4" s="1"/>
  <c r="R29" i="4"/>
  <c r="E23" i="4"/>
  <c r="F23" i="4" s="1"/>
  <c r="E24" i="4"/>
  <c r="F24" i="4" s="1"/>
  <c r="D16" i="4"/>
  <c r="E16" i="4" s="1"/>
  <c r="D15" i="4"/>
  <c r="R15" i="4"/>
  <c r="Q16" i="4"/>
  <c r="Q17" i="4"/>
  <c r="R17" i="4" s="1"/>
  <c r="E15" i="4"/>
  <c r="R27" i="4"/>
  <c r="R26" i="4"/>
  <c r="S26" i="4" s="1"/>
  <c r="L27" i="4"/>
  <c r="M27" i="4" s="1"/>
  <c r="L26" i="4"/>
  <c r="M26" i="4" s="1"/>
  <c r="E27" i="4"/>
  <c r="F27" i="4" s="1"/>
  <c r="E26" i="4"/>
  <c r="L23" i="4"/>
  <c r="M23" i="4" s="1"/>
  <c r="L24" i="4"/>
  <c r="M24" i="4" s="1"/>
  <c r="V16" i="4"/>
  <c r="W16" i="4" s="1"/>
  <c r="V15" i="4"/>
  <c r="K16" i="4"/>
  <c r="L16" i="4" s="1"/>
  <c r="K15" i="4"/>
  <c r="W15" i="3"/>
  <c r="E33" i="3"/>
  <c r="Q16" i="3"/>
  <c r="R16" i="3" s="1"/>
  <c r="Q17" i="3"/>
  <c r="R17" i="3" s="1"/>
  <c r="R15" i="3"/>
  <c r="C45" i="3"/>
  <c r="L27" i="3"/>
  <c r="M27" i="3" s="1"/>
  <c r="L26" i="3"/>
  <c r="M26" i="3" s="1"/>
  <c r="L24" i="3"/>
  <c r="M24" i="3" s="1"/>
  <c r="L23" i="3"/>
  <c r="M23" i="3" s="1"/>
  <c r="E24" i="3"/>
  <c r="F24" i="3" s="1"/>
  <c r="E23" i="3"/>
  <c r="F23" i="3" s="1"/>
  <c r="K16" i="3"/>
  <c r="L16" i="3" s="1"/>
  <c r="K15" i="3"/>
  <c r="D16" i="3"/>
  <c r="E16" i="3" s="1"/>
  <c r="D15" i="3"/>
  <c r="L27" i="2"/>
  <c r="M27" i="2" s="1"/>
  <c r="L26" i="2"/>
  <c r="M26" i="2" s="1"/>
  <c r="E27" i="2"/>
  <c r="F27" i="2" s="1"/>
  <c r="E26" i="2"/>
  <c r="W15" i="2"/>
  <c r="E24" i="2"/>
  <c r="F24" i="2" s="1"/>
  <c r="E23" i="2"/>
  <c r="F23" i="2" s="1"/>
  <c r="V16" i="2"/>
  <c r="C33" i="2"/>
  <c r="K16" i="2"/>
  <c r="L16" i="2" s="1"/>
  <c r="K15" i="2"/>
  <c r="D16" i="2"/>
  <c r="E16" i="2" s="1"/>
  <c r="D15" i="2"/>
  <c r="K15" i="1"/>
  <c r="L15" i="1" s="1"/>
  <c r="K16" i="1"/>
  <c r="L16" i="1" s="1"/>
  <c r="Q15" i="1"/>
  <c r="R15" i="1" s="1"/>
  <c r="Q17" i="1"/>
  <c r="R17" i="1" s="1"/>
  <c r="Q16" i="1"/>
  <c r="R16" i="1" s="1"/>
  <c r="D15" i="1"/>
  <c r="E15" i="1" s="1"/>
  <c r="D16" i="1"/>
  <c r="E16" i="1" s="1"/>
  <c r="V16" i="1"/>
  <c r="W16" i="1" s="1"/>
  <c r="V15" i="1"/>
  <c r="C33" i="1"/>
  <c r="C39" i="4" l="1"/>
  <c r="W15" i="4"/>
  <c r="E33" i="4" s="1"/>
  <c r="C42" i="4"/>
  <c r="L15" i="4"/>
  <c r="R16" i="4"/>
  <c r="C45" i="4"/>
  <c r="E45" i="3"/>
  <c r="L15" i="3"/>
  <c r="C42" i="3"/>
  <c r="E42" i="3" s="1"/>
  <c r="C39" i="3"/>
  <c r="E39" i="3" s="1"/>
  <c r="E15" i="3"/>
  <c r="W16" i="2"/>
  <c r="E33" i="2" s="1"/>
  <c r="L15" i="2"/>
  <c r="C42" i="2"/>
  <c r="C39" i="2"/>
  <c r="E15" i="2"/>
  <c r="C45" i="2"/>
  <c r="W15" i="1"/>
  <c r="E33" i="1" s="1"/>
  <c r="E45" i="2" l="1"/>
  <c r="E39" i="2"/>
  <c r="E42" i="2"/>
  <c r="E39" i="4"/>
  <c r="E42" i="4"/>
  <c r="E45" i="4"/>
</calcChain>
</file>

<file path=xl/sharedStrings.xml><?xml version="1.0" encoding="utf-8"?>
<sst xmlns="http://schemas.openxmlformats.org/spreadsheetml/2006/main" count="422" uniqueCount="25">
  <si>
    <t>Peludo</t>
  </si>
  <si>
    <t>Edad</t>
  </si>
  <si>
    <t>Tamano</t>
  </si>
  <si>
    <t>Clase</t>
  </si>
  <si>
    <t>Si</t>
  </si>
  <si>
    <t>Viejo</t>
  </si>
  <si>
    <t>Grande</t>
  </si>
  <si>
    <t>Leon</t>
  </si>
  <si>
    <t>No</t>
  </si>
  <si>
    <t>Joven</t>
  </si>
  <si>
    <t>No Leon</t>
  </si>
  <si>
    <t>Mediano</t>
  </si>
  <si>
    <t>Pequeno</t>
  </si>
  <si>
    <t xml:space="preserve">1.- </t>
  </si>
  <si>
    <t>Calcular las frecuencias</t>
  </si>
  <si>
    <t>Tamaño</t>
  </si>
  <si>
    <t>2.-</t>
  </si>
  <si>
    <t>Calcular Entropía del Conjunto</t>
  </si>
  <si>
    <t xml:space="preserve">E = </t>
  </si>
  <si>
    <t>Total:</t>
  </si>
  <si>
    <t>LOG2</t>
  </si>
  <si>
    <t>Etiqueta/Total</t>
  </si>
  <si>
    <t>3.-</t>
  </si>
  <si>
    <t>Calcular Entropia por Atributo</t>
  </si>
  <si>
    <t xml:space="preserve">E=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</si>
</sst>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8" fillId="0" borderId="0" xfId="0" applyFon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3814-2725-DB46-B378-0A904982C279}">
  <dimension ref="A1:W45"/>
  <sheetViews>
    <sheetView tabSelected="1" zoomScale="81" workbookViewId="0">
      <selection activeCell="E3" sqref="E3"/>
    </sheetView>
  </sheetViews>
  <sheetFormatPr baseColWidth="10" defaultRowHeight="16" x14ac:dyDescent="0.2"/>
  <cols>
    <col min="16" max="16" width="12.664062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23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23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23" x14ac:dyDescent="0.2">
      <c r="A4" s="1" t="s">
        <v>4</v>
      </c>
      <c r="B4" s="1" t="s">
        <v>9</v>
      </c>
      <c r="C4" s="1" t="s">
        <v>11</v>
      </c>
      <c r="D4" s="1" t="s">
        <v>7</v>
      </c>
    </row>
    <row r="5" spans="1:23" x14ac:dyDescent="0.2">
      <c r="A5" s="1" t="s">
        <v>4</v>
      </c>
      <c r="B5" s="1" t="s">
        <v>5</v>
      </c>
      <c r="C5" s="1" t="s">
        <v>12</v>
      </c>
      <c r="D5" s="1" t="s">
        <v>10</v>
      </c>
    </row>
    <row r="6" spans="1:23" x14ac:dyDescent="0.2">
      <c r="A6" s="1" t="s">
        <v>4</v>
      </c>
      <c r="B6" s="1" t="s">
        <v>9</v>
      </c>
      <c r="C6" s="1" t="s">
        <v>12</v>
      </c>
      <c r="D6" s="1" t="s">
        <v>10</v>
      </c>
    </row>
    <row r="7" spans="1:23" x14ac:dyDescent="0.2">
      <c r="A7" s="1" t="s">
        <v>4</v>
      </c>
      <c r="B7" s="1" t="s">
        <v>9</v>
      </c>
      <c r="C7" s="1" t="s">
        <v>6</v>
      </c>
      <c r="D7" s="1" t="s">
        <v>7</v>
      </c>
    </row>
    <row r="8" spans="1:23" x14ac:dyDescent="0.2">
      <c r="A8" s="1" t="s">
        <v>8</v>
      </c>
      <c r="B8" s="1" t="s">
        <v>9</v>
      </c>
      <c r="C8" s="1" t="s">
        <v>12</v>
      </c>
      <c r="D8" s="1" t="s">
        <v>10</v>
      </c>
    </row>
    <row r="9" spans="1:23" x14ac:dyDescent="0.2">
      <c r="A9" s="1" t="s">
        <v>8</v>
      </c>
      <c r="B9" s="1" t="s">
        <v>5</v>
      </c>
      <c r="C9" s="1" t="s">
        <v>6</v>
      </c>
      <c r="D9" s="1" t="s">
        <v>10</v>
      </c>
    </row>
    <row r="12" spans="1:23" x14ac:dyDescent="0.2">
      <c r="A12" s="1" t="s">
        <v>13</v>
      </c>
      <c r="B12" s="3" t="s">
        <v>14</v>
      </c>
      <c r="C12" s="3"/>
      <c r="D12" s="3"/>
      <c r="E12" s="3"/>
    </row>
    <row r="14" spans="1:23" x14ac:dyDescent="0.2">
      <c r="B14" s="9" t="s">
        <v>0</v>
      </c>
      <c r="C14" s="9"/>
      <c r="D14" s="1" t="s">
        <v>21</v>
      </c>
      <c r="E14" s="1" t="s">
        <v>20</v>
      </c>
      <c r="I14" s="8" t="s">
        <v>1</v>
      </c>
      <c r="K14" s="1" t="s">
        <v>21</v>
      </c>
      <c r="L14" s="1" t="s">
        <v>20</v>
      </c>
      <c r="O14" s="8" t="s">
        <v>15</v>
      </c>
      <c r="Q14" s="1" t="s">
        <v>21</v>
      </c>
      <c r="R14" s="1" t="s">
        <v>20</v>
      </c>
      <c r="T14" t="s">
        <v>3</v>
      </c>
      <c r="V14" s="1" t="s">
        <v>21</v>
      </c>
      <c r="W14" s="1" t="s">
        <v>20</v>
      </c>
    </row>
    <row r="15" spans="1:23" x14ac:dyDescent="0.2">
      <c r="B15" s="1" t="s">
        <v>4</v>
      </c>
      <c r="C15" s="1">
        <f>COUNTIF(A2:A9,B15)</f>
        <v>5</v>
      </c>
      <c r="D15" s="1">
        <f>C15/C$17</f>
        <v>0.625</v>
      </c>
      <c r="E15" s="1">
        <f>LOG(D15,2)</f>
        <v>-0.67807190511263771</v>
      </c>
      <c r="I15" t="s">
        <v>5</v>
      </c>
      <c r="J15" s="1">
        <f>COUNTIF(B2:B9,I15)</f>
        <v>3</v>
      </c>
      <c r="K15" s="1">
        <f>J15/J$17</f>
        <v>0.375</v>
      </c>
      <c r="L15" s="1">
        <f>LOG(K15,2)</f>
        <v>-1.4150374992788437</v>
      </c>
      <c r="O15" t="s">
        <v>6</v>
      </c>
      <c r="P15" s="1">
        <f>COUNTIF(C2:C9,O15)</f>
        <v>4</v>
      </c>
      <c r="Q15" s="1">
        <f>P15/P$18</f>
        <v>0.5</v>
      </c>
      <c r="R15" s="1">
        <f>LOG(Q15,2)</f>
        <v>-1</v>
      </c>
      <c r="T15" t="s">
        <v>7</v>
      </c>
      <c r="U15" s="1">
        <f>COUNTIF(D2:D9,T15)</f>
        <v>3</v>
      </c>
      <c r="V15" s="1">
        <f>U15/U$17</f>
        <v>0.375</v>
      </c>
      <c r="W15" s="1">
        <f>LOG(V15,2)</f>
        <v>-1.4150374992788437</v>
      </c>
    </row>
    <row r="16" spans="1:23" x14ac:dyDescent="0.2">
      <c r="B16" s="1" t="s">
        <v>8</v>
      </c>
      <c r="C16" s="1">
        <f>COUNTIF(A2:A9,B16)</f>
        <v>3</v>
      </c>
      <c r="D16" s="1">
        <f>C16/C$17</f>
        <v>0.375</v>
      </c>
      <c r="E16" s="1">
        <f>LOG(D16,2)</f>
        <v>-1.4150374992788437</v>
      </c>
      <c r="I16" t="s">
        <v>9</v>
      </c>
      <c r="J16" s="1">
        <f>COUNTIF(B2:B9,I16)</f>
        <v>5</v>
      </c>
      <c r="K16" s="1">
        <f>J16/J$17</f>
        <v>0.625</v>
      </c>
      <c r="L16" s="1">
        <f>LOG(K16,2)</f>
        <v>-0.67807190511263771</v>
      </c>
      <c r="O16" t="s">
        <v>11</v>
      </c>
      <c r="P16" s="1">
        <f>COUNTIF(C3:C10,O16)</f>
        <v>1</v>
      </c>
      <c r="Q16" s="1">
        <f>P16/P$18</f>
        <v>0.125</v>
      </c>
      <c r="R16" s="1">
        <f>LOG(Q16,2)</f>
        <v>-3</v>
      </c>
      <c r="T16" t="s">
        <v>10</v>
      </c>
      <c r="U16" s="1">
        <f>COUNTIF(D3:D10,T16)</f>
        <v>5</v>
      </c>
      <c r="V16" s="1">
        <f>U16/U$17</f>
        <v>0.625</v>
      </c>
      <c r="W16" s="1">
        <f>LOG(V16,2)</f>
        <v>-0.67807190511263771</v>
      </c>
    </row>
    <row r="17" spans="1:21" x14ac:dyDescent="0.2">
      <c r="B17" s="12" t="s">
        <v>19</v>
      </c>
      <c r="C17" s="2">
        <f>SUM(C15:C16)</f>
        <v>8</v>
      </c>
      <c r="I17" s="12" t="s">
        <v>19</v>
      </c>
      <c r="J17" s="2">
        <f>SUM(J15:J16)</f>
        <v>8</v>
      </c>
      <c r="O17" t="s">
        <v>12</v>
      </c>
      <c r="P17" s="1">
        <f>COUNTIF(C4:C11,O17)</f>
        <v>3</v>
      </c>
      <c r="Q17" s="1">
        <f>P17/P$18</f>
        <v>0.375</v>
      </c>
      <c r="R17" s="1">
        <f>LOG(Q17,2)</f>
        <v>-1.4150374992788437</v>
      </c>
      <c r="T17" s="12" t="s">
        <v>19</v>
      </c>
      <c r="U17" s="2">
        <f>SUM(U15:U16)</f>
        <v>8</v>
      </c>
    </row>
    <row r="18" spans="1:21" x14ac:dyDescent="0.2">
      <c r="O18" s="12" t="s">
        <v>19</v>
      </c>
      <c r="P18" s="2">
        <f>SUM(P15:P17)</f>
        <v>8</v>
      </c>
    </row>
    <row r="22" spans="1:21" x14ac:dyDescent="0.2">
      <c r="B22" s="8" t="s">
        <v>0</v>
      </c>
      <c r="E22" s="1" t="s">
        <v>21</v>
      </c>
      <c r="F22" s="1" t="s">
        <v>20</v>
      </c>
      <c r="I22" s="8" t="s">
        <v>1</v>
      </c>
      <c r="L22" s="1" t="s">
        <v>21</v>
      </c>
      <c r="M22" s="1" t="s">
        <v>20</v>
      </c>
      <c r="O22" s="8" t="s">
        <v>15</v>
      </c>
      <c r="R22" s="1" t="s">
        <v>21</v>
      </c>
      <c r="S22" s="1" t="s">
        <v>20</v>
      </c>
    </row>
    <row r="23" spans="1:21" x14ac:dyDescent="0.2">
      <c r="B23" s="4" t="s">
        <v>4</v>
      </c>
      <c r="C23" s="4" t="s">
        <v>7</v>
      </c>
      <c r="D23" s="5">
        <f>COUNTIFS(A$2:A$9,B$23,D$2:D$9,C23)</f>
        <v>3</v>
      </c>
      <c r="E23" s="1">
        <f>D23/D$25</f>
        <v>0.6</v>
      </c>
      <c r="F23" s="1">
        <f>LOG(E23,2)</f>
        <v>-0.73696559416620622</v>
      </c>
      <c r="I23" s="4" t="s">
        <v>5</v>
      </c>
      <c r="J23" s="4" t="s">
        <v>7</v>
      </c>
      <c r="K23" s="5">
        <f>COUNTIFS(B$2:B$9,I$23,D$2:D$9,J23)</f>
        <v>1</v>
      </c>
      <c r="L23" s="1">
        <f>K23/K$25</f>
        <v>0.33333333333333331</v>
      </c>
      <c r="M23" s="1">
        <f>LOG(L23,2)</f>
        <v>-1.5849625007211563</v>
      </c>
      <c r="O23" s="4" t="s">
        <v>6</v>
      </c>
      <c r="P23" s="4" t="s">
        <v>7</v>
      </c>
      <c r="Q23" s="5">
        <f>COUNTIFS(C$2:C$9,O$23,D$2:D$9,P23)</f>
        <v>2</v>
      </c>
      <c r="R23" s="1">
        <f>Q23/Q$25</f>
        <v>0.5</v>
      </c>
      <c r="S23" s="1">
        <f>LOG(R23,2)</f>
        <v>-1</v>
      </c>
    </row>
    <row r="24" spans="1:21" x14ac:dyDescent="0.2">
      <c r="B24" s="4"/>
      <c r="C24" s="4" t="s">
        <v>10</v>
      </c>
      <c r="D24" s="5">
        <f>COUNTIFS(A$2:A$9,B$23,D$2:D$9,C24)</f>
        <v>2</v>
      </c>
      <c r="E24" s="1">
        <f>D24/D$25</f>
        <v>0.4</v>
      </c>
      <c r="F24" s="1">
        <f>LOG(E24,2)</f>
        <v>-1.3219280948873622</v>
      </c>
      <c r="I24" s="4"/>
      <c r="J24" s="4" t="s">
        <v>10</v>
      </c>
      <c r="K24" s="5">
        <f>COUNTIFS(B$2:B$9,I$23,D$2:D$9,J24)</f>
        <v>2</v>
      </c>
      <c r="L24" s="1">
        <f>K24/K$25</f>
        <v>0.66666666666666663</v>
      </c>
      <c r="M24" s="1">
        <f>LOG(L24,2)</f>
        <v>-0.5849625007211563</v>
      </c>
      <c r="O24" s="4"/>
      <c r="P24" s="4" t="s">
        <v>10</v>
      </c>
      <c r="Q24" s="5">
        <f>COUNTIFS(C$2:C$9,O$23,D$2:D$9,P24)</f>
        <v>2</v>
      </c>
      <c r="R24" s="1">
        <f>Q24/Q$25</f>
        <v>0.5</v>
      </c>
      <c r="S24" s="1">
        <f>LOG(R24,2)</f>
        <v>-1</v>
      </c>
    </row>
    <row r="25" spans="1:21" x14ac:dyDescent="0.2">
      <c r="B25" s="4"/>
      <c r="C25" s="12" t="s">
        <v>19</v>
      </c>
      <c r="D25" s="2">
        <f>SUM(D23:D24)</f>
        <v>5</v>
      </c>
      <c r="I25" s="4"/>
      <c r="J25" s="12" t="s">
        <v>19</v>
      </c>
      <c r="K25" s="2">
        <f>SUM(K23:K24)</f>
        <v>3</v>
      </c>
      <c r="O25" s="4"/>
      <c r="P25" s="12" t="s">
        <v>19</v>
      </c>
      <c r="Q25" s="2">
        <f>SUM(Q23:Q24)</f>
        <v>4</v>
      </c>
    </row>
    <row r="26" spans="1:21" x14ac:dyDescent="0.2">
      <c r="B26" s="6" t="s">
        <v>8</v>
      </c>
      <c r="C26" s="6" t="s">
        <v>7</v>
      </c>
      <c r="D26" s="7">
        <f>COUNTIFS(A$2:A$9,B$26,D$2:D$9,C26)</f>
        <v>0</v>
      </c>
      <c r="E26" s="1">
        <f>D26/D$28</f>
        <v>0</v>
      </c>
      <c r="F26" s="11">
        <v>0</v>
      </c>
      <c r="G26" s="11" t="e">
        <f>LOG(F26,2)</f>
        <v>#NUM!</v>
      </c>
      <c r="I26" s="6" t="s">
        <v>9</v>
      </c>
      <c r="J26" s="6" t="s">
        <v>7</v>
      </c>
      <c r="K26" s="7">
        <f>COUNTIFS(B$2:B$9,I$26,D$2:D$9,J26)</f>
        <v>2</v>
      </c>
      <c r="L26" s="1">
        <f>K26/K$28</f>
        <v>0.4</v>
      </c>
      <c r="M26" s="1">
        <f>LOG(L26,2)</f>
        <v>-1.3219280948873622</v>
      </c>
      <c r="O26" s="6" t="s">
        <v>11</v>
      </c>
      <c r="P26" s="6" t="s">
        <v>7</v>
      </c>
      <c r="Q26" s="7">
        <f>COUNTIFS(C$2:C$9,O$26,D$2:D$9,P26)</f>
        <v>1</v>
      </c>
      <c r="R26" s="1">
        <f>Q26/Q$28</f>
        <v>1</v>
      </c>
      <c r="S26" s="1">
        <f>LOG(R26,2)</f>
        <v>0</v>
      </c>
    </row>
    <row r="27" spans="1:21" x14ac:dyDescent="0.2">
      <c r="B27" s="6"/>
      <c r="C27" s="6" t="s">
        <v>10</v>
      </c>
      <c r="D27" s="7">
        <f>COUNTIFS(A$2:A$9,B$26,D$2:D$9,C27)</f>
        <v>3</v>
      </c>
      <c r="E27" s="1">
        <f>D27/D$28</f>
        <v>1</v>
      </c>
      <c r="F27" s="1">
        <f>LOG(E27,2)</f>
        <v>0</v>
      </c>
      <c r="I27" s="6"/>
      <c r="J27" s="6" t="s">
        <v>10</v>
      </c>
      <c r="K27" s="7">
        <f>COUNTIFS(B$2:B$9,I$26,D$2:D$9,J27)</f>
        <v>3</v>
      </c>
      <c r="L27" s="1">
        <f>K27/K$28</f>
        <v>0.6</v>
      </c>
      <c r="M27" s="1">
        <f>LOG(L27,2)</f>
        <v>-0.73696559416620622</v>
      </c>
      <c r="O27" s="6"/>
      <c r="P27" s="6" t="s">
        <v>10</v>
      </c>
      <c r="Q27" s="7">
        <f>COUNTIFS(C$2:C$9,O$26,D$2:D$9,P27)</f>
        <v>0</v>
      </c>
      <c r="R27" s="1">
        <f>Q27/Q$28</f>
        <v>0</v>
      </c>
      <c r="S27" s="11">
        <v>0</v>
      </c>
      <c r="T27" s="11" t="e">
        <f>LOG(S27,2)</f>
        <v>#NUM!</v>
      </c>
    </row>
    <row r="28" spans="1:21" x14ac:dyDescent="0.2">
      <c r="C28" s="12" t="s">
        <v>19</v>
      </c>
      <c r="D28" s="2">
        <f>SUM(D26:D27)</f>
        <v>3</v>
      </c>
      <c r="J28" s="12" t="s">
        <v>19</v>
      </c>
      <c r="K28" s="2">
        <f>SUM(K26:K27)</f>
        <v>5</v>
      </c>
      <c r="P28" s="12" t="s">
        <v>19</v>
      </c>
      <c r="Q28" s="2">
        <f>SUM(Q26:Q27)</f>
        <v>1</v>
      </c>
    </row>
    <row r="29" spans="1:21" x14ac:dyDescent="0.2">
      <c r="O29" s="10" t="s">
        <v>12</v>
      </c>
      <c r="P29" s="10" t="s">
        <v>7</v>
      </c>
      <c r="Q29" s="11">
        <f>COUNTIFS(C$2:C$9,O$29,D$2:D$9,P29)</f>
        <v>0</v>
      </c>
      <c r="R29" s="1">
        <f>Q29/Q$31</f>
        <v>0</v>
      </c>
      <c r="S29" s="11">
        <v>0</v>
      </c>
      <c r="T29" s="11" t="e">
        <f>LOG(S29,2)</f>
        <v>#NUM!</v>
      </c>
    </row>
    <row r="30" spans="1:21" x14ac:dyDescent="0.2">
      <c r="O30" s="10"/>
      <c r="P30" s="10" t="s">
        <v>10</v>
      </c>
      <c r="Q30" s="11">
        <f>COUNTIFS(C$2:C$9,O$29,D$2:D$9,P30)</f>
        <v>3</v>
      </c>
      <c r="R30" s="1">
        <f>Q30/Q$31</f>
        <v>1</v>
      </c>
      <c r="S30" s="1">
        <f>LOG(R30,2)</f>
        <v>0</v>
      </c>
    </row>
    <row r="31" spans="1:21" x14ac:dyDescent="0.2">
      <c r="A31" t="s">
        <v>16</v>
      </c>
      <c r="B31" t="s">
        <v>17</v>
      </c>
      <c r="P31" s="12" t="s">
        <v>19</v>
      </c>
      <c r="Q31" s="2">
        <f>SUM(Q29:Q30)</f>
        <v>3</v>
      </c>
    </row>
    <row r="33" spans="1:5" x14ac:dyDescent="0.2">
      <c r="B33" t="s">
        <v>18</v>
      </c>
      <c r="C33" s="14">
        <f>-U15/U17*LOG(U15/U17,2)-U16/U17*LOG(U16/U17,2)</f>
        <v>0.95443400292496494</v>
      </c>
      <c r="E33" s="14">
        <f>-V15*W15-V16*W16</f>
        <v>0.95443400292496494</v>
      </c>
    </row>
    <row r="36" spans="1:5" x14ac:dyDescent="0.2">
      <c r="A36" t="s">
        <v>22</v>
      </c>
      <c r="B36" t="s">
        <v>23</v>
      </c>
    </row>
    <row r="38" spans="1:5" x14ac:dyDescent="0.2">
      <c r="B38" t="s">
        <v>0</v>
      </c>
    </row>
    <row r="39" spans="1:5" x14ac:dyDescent="0.2">
      <c r="B39" t="s">
        <v>24</v>
      </c>
      <c r="C39" s="14">
        <f>D15*(-E23*F23-E24*F24)+D16*(-E26*F26-E27*F27)</f>
        <v>0.60684412153416789</v>
      </c>
      <c r="E39" s="13">
        <f>E$33-C39</f>
        <v>0.34758988139079705</v>
      </c>
    </row>
    <row r="41" spans="1:5" x14ac:dyDescent="0.2">
      <c r="B41" t="s">
        <v>1</v>
      </c>
    </row>
    <row r="42" spans="1:5" x14ac:dyDescent="0.2">
      <c r="B42" t="s">
        <v>24</v>
      </c>
      <c r="C42" s="14">
        <f>K15*(-L23*M23-L24*M24)+K16*(-L26*M26-L27*M27)</f>
        <v>0.95120505930460153</v>
      </c>
      <c r="E42" s="13">
        <f>E$33-C42</f>
        <v>3.2289436203634114E-3</v>
      </c>
    </row>
    <row r="44" spans="1:5" x14ac:dyDescent="0.2">
      <c r="B44" t="s">
        <v>15</v>
      </c>
    </row>
    <row r="45" spans="1:5" x14ac:dyDescent="0.2">
      <c r="B45" t="s">
        <v>24</v>
      </c>
      <c r="C45" s="1">
        <f>Q15*(-R23*S23-R24*S24)+Q16*(-R26*S26-R27*S27)+Q17*(-R29*S29-R30*S30)</f>
        <v>0.5</v>
      </c>
      <c r="E45" s="15">
        <f>E$33-C45</f>
        <v>0.45443400292496494</v>
      </c>
    </row>
  </sheetData>
  <mergeCells count="2">
    <mergeCell ref="B12:E12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941B-EF84-4F4B-8E01-698BB91DB030}">
  <sheetPr filterMode="1"/>
  <dimension ref="A1:W45"/>
  <sheetViews>
    <sheetView workbookViewId="0">
      <selection activeCell="I12" sqref="I12"/>
    </sheetView>
  </sheetViews>
  <sheetFormatPr baseColWidth="10" defaultRowHeight="16" x14ac:dyDescent="0.2"/>
  <cols>
    <col min="16" max="16" width="12.664062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23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23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23" hidden="1" x14ac:dyDescent="0.2">
      <c r="A4" s="1" t="s">
        <v>4</v>
      </c>
      <c r="B4" s="1" t="s">
        <v>9</v>
      </c>
      <c r="C4" s="1" t="s">
        <v>11</v>
      </c>
      <c r="D4" s="1" t="s">
        <v>7</v>
      </c>
    </row>
    <row r="5" spans="1:23" hidden="1" x14ac:dyDescent="0.2">
      <c r="A5" s="1" t="s">
        <v>4</v>
      </c>
      <c r="B5" s="1" t="s">
        <v>5</v>
      </c>
      <c r="C5" s="1" t="s">
        <v>12</v>
      </c>
      <c r="D5" s="1" t="s">
        <v>10</v>
      </c>
    </row>
    <row r="6" spans="1:23" hidden="1" x14ac:dyDescent="0.2">
      <c r="A6" s="1" t="s">
        <v>4</v>
      </c>
      <c r="B6" s="1" t="s">
        <v>9</v>
      </c>
      <c r="C6" s="1" t="s">
        <v>12</v>
      </c>
      <c r="D6" s="1" t="s">
        <v>10</v>
      </c>
    </row>
    <row r="7" spans="1:23" x14ac:dyDescent="0.2">
      <c r="A7" s="1" t="s">
        <v>4</v>
      </c>
      <c r="B7" s="1" t="s">
        <v>9</v>
      </c>
      <c r="C7" s="1" t="s">
        <v>6</v>
      </c>
      <c r="D7" s="1" t="s">
        <v>7</v>
      </c>
    </row>
    <row r="8" spans="1:23" hidden="1" x14ac:dyDescent="0.2">
      <c r="A8" s="1" t="s">
        <v>8</v>
      </c>
      <c r="B8" s="1" t="s">
        <v>9</v>
      </c>
      <c r="C8" s="1" t="s">
        <v>12</v>
      </c>
      <c r="D8" s="1" t="s">
        <v>10</v>
      </c>
    </row>
    <row r="9" spans="1:23" x14ac:dyDescent="0.2">
      <c r="A9" s="1" t="s">
        <v>8</v>
      </c>
      <c r="B9" s="1" t="s">
        <v>5</v>
      </c>
      <c r="C9" s="1" t="s">
        <v>6</v>
      </c>
      <c r="D9" s="1" t="s">
        <v>10</v>
      </c>
    </row>
    <row r="12" spans="1:23" x14ac:dyDescent="0.2">
      <c r="A12" s="1" t="s">
        <v>13</v>
      </c>
      <c r="B12" s="3" t="s">
        <v>14</v>
      </c>
      <c r="C12" s="3"/>
      <c r="D12" s="3"/>
      <c r="E12" s="3"/>
    </row>
    <row r="14" spans="1:23" x14ac:dyDescent="0.2">
      <c r="B14" s="9" t="s">
        <v>0</v>
      </c>
      <c r="C14" s="9"/>
      <c r="D14" s="1" t="s">
        <v>21</v>
      </c>
      <c r="E14" s="1" t="s">
        <v>20</v>
      </c>
      <c r="I14" s="8" t="s">
        <v>1</v>
      </c>
      <c r="K14" s="1" t="s">
        <v>21</v>
      </c>
      <c r="L14" s="1" t="s">
        <v>20</v>
      </c>
      <c r="O14" s="8"/>
      <c r="Q14" s="1"/>
      <c r="R14" s="1"/>
      <c r="T14" t="s">
        <v>3</v>
      </c>
      <c r="V14" s="1" t="s">
        <v>21</v>
      </c>
      <c r="W14" s="1" t="s">
        <v>20</v>
      </c>
    </row>
    <row r="15" spans="1:23" x14ac:dyDescent="0.2">
      <c r="B15" s="1" t="s">
        <v>4</v>
      </c>
      <c r="C15" s="1">
        <f>COUNTIF(A2:A9,B15)</f>
        <v>5</v>
      </c>
      <c r="D15" s="1">
        <f>C15/C$17</f>
        <v>0.625</v>
      </c>
      <c r="E15" s="1">
        <f>LOG(D15,2)</f>
        <v>-0.67807190511263771</v>
      </c>
      <c r="I15" t="s">
        <v>5</v>
      </c>
      <c r="J15" s="1">
        <f>COUNTIF(B2:B9,I15)</f>
        <v>3</v>
      </c>
      <c r="K15" s="1">
        <f>J15/J$17</f>
        <v>0.375</v>
      </c>
      <c r="L15" s="1">
        <f>LOG(K15,2)</f>
        <v>-1.4150374992788437</v>
      </c>
      <c r="P15" s="1"/>
      <c r="Q15" s="1"/>
      <c r="R15" s="1"/>
      <c r="T15" t="s">
        <v>7</v>
      </c>
      <c r="U15" s="1">
        <f>COUNTIF(D2:D9,T15)</f>
        <v>3</v>
      </c>
      <c r="V15" s="1">
        <f>U15/U$17</f>
        <v>0.375</v>
      </c>
      <c r="W15" s="1">
        <f>LOG(V15,2)</f>
        <v>-1.4150374992788437</v>
      </c>
    </row>
    <row r="16" spans="1:23" x14ac:dyDescent="0.2">
      <c r="B16" s="1" t="s">
        <v>8</v>
      </c>
      <c r="C16" s="1">
        <f>COUNTIF(A2:A9,B16)</f>
        <v>3</v>
      </c>
      <c r="D16" s="1">
        <f>C16/C$17</f>
        <v>0.375</v>
      </c>
      <c r="E16" s="1">
        <f>LOG(D16,2)</f>
        <v>-1.4150374992788437</v>
      </c>
      <c r="I16" t="s">
        <v>9</v>
      </c>
      <c r="J16" s="1">
        <f>COUNTIF(B2:B9,I16)</f>
        <v>5</v>
      </c>
      <c r="K16" s="1">
        <f>J16/J$17</f>
        <v>0.625</v>
      </c>
      <c r="L16" s="1">
        <f>LOG(K16,2)</f>
        <v>-0.67807190511263771</v>
      </c>
      <c r="P16" s="1"/>
      <c r="Q16" s="1"/>
      <c r="R16" s="1"/>
      <c r="T16" t="s">
        <v>10</v>
      </c>
      <c r="U16" s="1">
        <f>COUNTIF(D3:D10,T16)</f>
        <v>5</v>
      </c>
      <c r="V16" s="1">
        <f>U16/U$17</f>
        <v>0.625</v>
      </c>
      <c r="W16" s="1">
        <f>LOG(V16,2)</f>
        <v>-0.67807190511263771</v>
      </c>
    </row>
    <row r="17" spans="1:21" x14ac:dyDescent="0.2">
      <c r="B17" s="12" t="s">
        <v>19</v>
      </c>
      <c r="C17" s="2">
        <f>SUM(C15:C16)</f>
        <v>8</v>
      </c>
      <c r="I17" s="12" t="s">
        <v>19</v>
      </c>
      <c r="J17" s="2">
        <f>SUM(J15:J16)</f>
        <v>8</v>
      </c>
      <c r="P17" s="1"/>
      <c r="Q17" s="1"/>
      <c r="R17" s="1"/>
      <c r="T17" s="12" t="s">
        <v>19</v>
      </c>
      <c r="U17" s="2">
        <f>SUM(U15:U16)</f>
        <v>8</v>
      </c>
    </row>
    <row r="18" spans="1:21" x14ac:dyDescent="0.2">
      <c r="O18" s="12"/>
      <c r="P18" s="2"/>
    </row>
    <row r="22" spans="1:21" x14ac:dyDescent="0.2">
      <c r="B22" s="8" t="s">
        <v>0</v>
      </c>
      <c r="E22" s="1" t="s">
        <v>21</v>
      </c>
      <c r="F22" s="1" t="s">
        <v>20</v>
      </c>
      <c r="I22" s="8" t="s">
        <v>1</v>
      </c>
      <c r="L22" s="1" t="s">
        <v>21</v>
      </c>
      <c r="M22" s="1" t="s">
        <v>20</v>
      </c>
    </row>
    <row r="23" spans="1:21" x14ac:dyDescent="0.2">
      <c r="B23" s="4" t="s">
        <v>4</v>
      </c>
      <c r="C23" s="4" t="s">
        <v>7</v>
      </c>
      <c r="D23" s="5">
        <f>COUNTIFS(A$2:A$9,B$23,D$2:D$9,C23)</f>
        <v>3</v>
      </c>
      <c r="E23" s="1">
        <f>D23/D$25</f>
        <v>0.6</v>
      </c>
      <c r="F23" s="1">
        <f>LOG(E23,2)</f>
        <v>-0.73696559416620622</v>
      </c>
      <c r="I23" s="4" t="s">
        <v>5</v>
      </c>
      <c r="J23" s="4" t="s">
        <v>7</v>
      </c>
      <c r="K23" s="5">
        <f>COUNTIFS(B$2:B$9,I$23,D$2:D$9,J23)</f>
        <v>1</v>
      </c>
      <c r="L23" s="1">
        <f>K23/K$25</f>
        <v>0.33333333333333331</v>
      </c>
      <c r="M23" s="1">
        <f>LOG(L23,2)</f>
        <v>-1.5849625007211563</v>
      </c>
    </row>
    <row r="24" spans="1:21" x14ac:dyDescent="0.2">
      <c r="B24" s="4"/>
      <c r="C24" s="4" t="s">
        <v>10</v>
      </c>
      <c r="D24" s="5">
        <f>COUNTIFS(A$2:A$9,B$23,D$2:D$9,C24)</f>
        <v>2</v>
      </c>
      <c r="E24" s="1">
        <f>D24/D$25</f>
        <v>0.4</v>
      </c>
      <c r="F24" s="1">
        <f>LOG(E24,2)</f>
        <v>-1.3219280948873622</v>
      </c>
      <c r="I24" s="4"/>
      <c r="J24" s="4" t="s">
        <v>10</v>
      </c>
      <c r="K24" s="5">
        <f>COUNTIFS(B$2:B$9,I$23,D$2:D$9,J24)</f>
        <v>2</v>
      </c>
      <c r="L24" s="1">
        <f>K24/K$25</f>
        <v>0.66666666666666663</v>
      </c>
      <c r="M24" s="1">
        <f>LOG(L24,2)</f>
        <v>-0.5849625007211563</v>
      </c>
    </row>
    <row r="25" spans="1:21" x14ac:dyDescent="0.2">
      <c r="B25" s="4"/>
      <c r="C25" s="12" t="s">
        <v>19</v>
      </c>
      <c r="D25" s="2">
        <f>SUM(D23:D24)</f>
        <v>5</v>
      </c>
      <c r="I25" s="4"/>
      <c r="J25" s="12" t="s">
        <v>19</v>
      </c>
      <c r="K25" s="2">
        <f>SUM(K23:K24)</f>
        <v>3</v>
      </c>
    </row>
    <row r="26" spans="1:21" x14ac:dyDescent="0.2">
      <c r="B26" s="6" t="s">
        <v>8</v>
      </c>
      <c r="C26" s="6" t="s">
        <v>7</v>
      </c>
      <c r="D26" s="7">
        <f>COUNTIFS(A$2:A$9,B$26,D$2:D$9,C26)</f>
        <v>0</v>
      </c>
      <c r="E26" s="1">
        <f>D26/D$28</f>
        <v>0</v>
      </c>
      <c r="F26" s="11">
        <v>0</v>
      </c>
      <c r="G26" s="11" t="e">
        <f>LOG(F26,2)</f>
        <v>#NUM!</v>
      </c>
      <c r="I26" s="6" t="s">
        <v>9</v>
      </c>
      <c r="J26" s="6" t="s">
        <v>7</v>
      </c>
      <c r="K26" s="7">
        <f>COUNTIFS(B$2:B$9,I$26,D$2:D$9,J26)</f>
        <v>2</v>
      </c>
      <c r="L26" s="1">
        <f>K26/K$28</f>
        <v>0.4</v>
      </c>
      <c r="M26" s="1">
        <f>LOG(L26,2)</f>
        <v>-1.3219280948873622</v>
      </c>
    </row>
    <row r="27" spans="1:21" x14ac:dyDescent="0.2">
      <c r="B27" s="6"/>
      <c r="C27" s="6" t="s">
        <v>10</v>
      </c>
      <c r="D27" s="7">
        <f>COUNTIFS(A$2:A$9,B$26,D$2:D$9,C27)</f>
        <v>3</v>
      </c>
      <c r="E27" s="1">
        <f>D27/D$28</f>
        <v>1</v>
      </c>
      <c r="F27" s="1">
        <f>LOG(E27,2)</f>
        <v>0</v>
      </c>
      <c r="I27" s="6"/>
      <c r="J27" s="6" t="s">
        <v>10</v>
      </c>
      <c r="K27" s="7">
        <f>COUNTIFS(B$2:B$9,I$26,D$2:D$9,J27)</f>
        <v>3</v>
      </c>
      <c r="L27" s="1">
        <f>K27/K$28</f>
        <v>0.6</v>
      </c>
      <c r="M27" s="1">
        <f>LOG(L27,2)</f>
        <v>-0.73696559416620622</v>
      </c>
    </row>
    <row r="28" spans="1:21" x14ac:dyDescent="0.2">
      <c r="C28" s="12" t="s">
        <v>19</v>
      </c>
      <c r="D28" s="2">
        <f>SUM(D26:D27)</f>
        <v>3</v>
      </c>
      <c r="J28" s="12" t="s">
        <v>19</v>
      </c>
      <c r="K28" s="2">
        <f>SUM(K26:K27)</f>
        <v>5</v>
      </c>
    </row>
    <row r="31" spans="1:21" x14ac:dyDescent="0.2">
      <c r="A31" t="s">
        <v>16</v>
      </c>
      <c r="B31" t="s">
        <v>17</v>
      </c>
    </row>
    <row r="33" spans="1:5" x14ac:dyDescent="0.2">
      <c r="B33" t="s">
        <v>18</v>
      </c>
      <c r="C33" s="14">
        <f>-U15/U17*LOG(U15/U17,2)-U16/U17*LOG(U16/U17,2)</f>
        <v>0.95443400292496494</v>
      </c>
      <c r="E33" s="14">
        <f>-V15*W15-V16*W16</f>
        <v>0.95443400292496494</v>
      </c>
    </row>
    <row r="36" spans="1:5" x14ac:dyDescent="0.2">
      <c r="A36" t="s">
        <v>22</v>
      </c>
      <c r="B36" t="s">
        <v>23</v>
      </c>
    </row>
    <row r="38" spans="1:5" x14ac:dyDescent="0.2">
      <c r="B38" t="s">
        <v>0</v>
      </c>
    </row>
    <row r="39" spans="1:5" x14ac:dyDescent="0.2">
      <c r="B39" t="s">
        <v>24</v>
      </c>
      <c r="C39" s="14">
        <f>D15*(-E23*F23-E24*F24)+D16*(-E26*F26-E27*F27)</f>
        <v>0.60684412153416789</v>
      </c>
      <c r="E39" s="13">
        <f>E$33-C39</f>
        <v>0.34758988139079705</v>
      </c>
    </row>
    <row r="41" spans="1:5" x14ac:dyDescent="0.2">
      <c r="B41" t="s">
        <v>1</v>
      </c>
    </row>
    <row r="42" spans="1:5" x14ac:dyDescent="0.2">
      <c r="B42" t="s">
        <v>24</v>
      </c>
      <c r="C42" s="14">
        <f>K15*(-L23*M23-L24*M24)+K16*(-L26*M26-L27*M27)</f>
        <v>0.95120505930460153</v>
      </c>
      <c r="E42" s="13">
        <f>E$33-C42</f>
        <v>3.2289436203634114E-3</v>
      </c>
    </row>
    <row r="44" spans="1:5" x14ac:dyDescent="0.2">
      <c r="B44" t="s">
        <v>15</v>
      </c>
    </row>
    <row r="45" spans="1:5" x14ac:dyDescent="0.2">
      <c r="B45" t="s">
        <v>24</v>
      </c>
      <c r="C45" s="1">
        <f>Q15*(-R23*S23-R24*S24)+Q16*(-R26*S26-R27*S27)+Q17*(-R29*S29-R30*S30)</f>
        <v>0</v>
      </c>
      <c r="E45" s="15">
        <f>E$33-C45</f>
        <v>0.95443400292496494</v>
      </c>
    </row>
  </sheetData>
  <autoFilter ref="A1:D9" xr:uid="{2E29941B-EF84-4F4B-8E01-698BB91DB030}">
    <filterColumn colId="2">
      <filters>
        <filter val="Grande"/>
      </filters>
    </filterColumn>
  </autoFilter>
  <mergeCells count="2">
    <mergeCell ref="B12:E12"/>
    <mergeCell ref="B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5B5C-59D4-3148-854C-99E9A7AB9964}">
  <sheetPr filterMode="1"/>
  <dimension ref="A1:W45"/>
  <sheetViews>
    <sheetView workbookViewId="0">
      <selection activeCell="F11" sqref="F11"/>
    </sheetView>
  </sheetViews>
  <sheetFormatPr baseColWidth="10" defaultRowHeight="16" x14ac:dyDescent="0.2"/>
  <cols>
    <col min="16" max="16" width="12.664062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23" hidden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23" hidden="1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23" x14ac:dyDescent="0.2">
      <c r="A4" s="1" t="s">
        <v>4</v>
      </c>
      <c r="B4" s="1" t="s">
        <v>9</v>
      </c>
      <c r="C4" s="1" t="s">
        <v>11</v>
      </c>
      <c r="D4" s="1" t="s">
        <v>7</v>
      </c>
    </row>
    <row r="5" spans="1:23" hidden="1" x14ac:dyDescent="0.2">
      <c r="A5" s="1" t="s">
        <v>4</v>
      </c>
      <c r="B5" s="1" t="s">
        <v>5</v>
      </c>
      <c r="C5" s="1" t="s">
        <v>12</v>
      </c>
      <c r="D5" s="1" t="s">
        <v>10</v>
      </c>
    </row>
    <row r="6" spans="1:23" hidden="1" x14ac:dyDescent="0.2">
      <c r="A6" s="1" t="s">
        <v>4</v>
      </c>
      <c r="B6" s="1" t="s">
        <v>9</v>
      </c>
      <c r="C6" s="1" t="s">
        <v>12</v>
      </c>
      <c r="D6" s="1" t="s">
        <v>10</v>
      </c>
    </row>
    <row r="7" spans="1:23" hidden="1" x14ac:dyDescent="0.2">
      <c r="A7" s="1" t="s">
        <v>4</v>
      </c>
      <c r="B7" s="1" t="s">
        <v>9</v>
      </c>
      <c r="C7" s="1" t="s">
        <v>6</v>
      </c>
      <c r="D7" s="1" t="s">
        <v>7</v>
      </c>
    </row>
    <row r="8" spans="1:23" hidden="1" x14ac:dyDescent="0.2">
      <c r="A8" s="1" t="s">
        <v>8</v>
      </c>
      <c r="B8" s="1" t="s">
        <v>9</v>
      </c>
      <c r="C8" s="1" t="s">
        <v>12</v>
      </c>
      <c r="D8" s="1" t="s">
        <v>10</v>
      </c>
    </row>
    <row r="9" spans="1:23" hidden="1" x14ac:dyDescent="0.2">
      <c r="A9" s="1" t="s">
        <v>8</v>
      </c>
      <c r="B9" s="1" t="s">
        <v>5</v>
      </c>
      <c r="C9" s="1" t="s">
        <v>6</v>
      </c>
      <c r="D9" s="1" t="s">
        <v>10</v>
      </c>
    </row>
    <row r="12" spans="1:23" x14ac:dyDescent="0.2">
      <c r="A12" s="1" t="s">
        <v>13</v>
      </c>
      <c r="B12" s="3" t="s">
        <v>14</v>
      </c>
      <c r="C12" s="3"/>
      <c r="D12" s="3"/>
      <c r="E12" s="3"/>
    </row>
    <row r="14" spans="1:23" x14ac:dyDescent="0.2">
      <c r="B14" s="9" t="s">
        <v>0</v>
      </c>
      <c r="C14" s="9"/>
      <c r="D14" s="1" t="s">
        <v>21</v>
      </c>
      <c r="E14" s="1" t="s">
        <v>20</v>
      </c>
      <c r="I14" s="8" t="s">
        <v>1</v>
      </c>
      <c r="K14" s="1" t="s">
        <v>21</v>
      </c>
      <c r="L14" s="1" t="s">
        <v>20</v>
      </c>
      <c r="O14" s="8" t="s">
        <v>15</v>
      </c>
      <c r="Q14" s="1" t="s">
        <v>21</v>
      </c>
      <c r="R14" s="1" t="s">
        <v>20</v>
      </c>
      <c r="T14" t="s">
        <v>3</v>
      </c>
      <c r="V14" s="1" t="s">
        <v>21</v>
      </c>
      <c r="W14" s="1" t="s">
        <v>20</v>
      </c>
    </row>
    <row r="15" spans="1:23" x14ac:dyDescent="0.2">
      <c r="B15" s="1" t="s">
        <v>4</v>
      </c>
      <c r="C15" s="1">
        <f>COUNTIF(A2:A9,B15)</f>
        <v>5</v>
      </c>
      <c r="D15" s="1">
        <f>C15/C$17</f>
        <v>0.625</v>
      </c>
      <c r="E15" s="1">
        <f>LOG(D15,2)</f>
        <v>-0.67807190511263771</v>
      </c>
      <c r="I15" t="s">
        <v>5</v>
      </c>
      <c r="J15" s="1">
        <f>COUNTIF(B2:B9,I15)</f>
        <v>3</v>
      </c>
      <c r="K15" s="1">
        <f>J15/J$17</f>
        <v>0.375</v>
      </c>
      <c r="L15" s="1">
        <f>LOG(K15,2)</f>
        <v>-1.4150374992788437</v>
      </c>
      <c r="O15" t="s">
        <v>6</v>
      </c>
      <c r="P15" s="1">
        <f>COUNTIF(C2:C9,O15)</f>
        <v>4</v>
      </c>
      <c r="Q15" s="1">
        <f>P15/P$18</f>
        <v>0.5</v>
      </c>
      <c r="R15" s="1">
        <f>LOG(Q15,2)</f>
        <v>-1</v>
      </c>
      <c r="T15" t="s">
        <v>7</v>
      </c>
      <c r="U15" s="1">
        <f>COUNTIF(D2:D9,T15)</f>
        <v>3</v>
      </c>
      <c r="V15" s="1">
        <f>U15/U$17</f>
        <v>0.375</v>
      </c>
      <c r="W15" s="1">
        <f>LOG(V15,2)</f>
        <v>-1.4150374992788437</v>
      </c>
    </row>
    <row r="16" spans="1:23" x14ac:dyDescent="0.2">
      <c r="B16" s="1" t="s">
        <v>8</v>
      </c>
      <c r="C16" s="1">
        <f>COUNTIF(A2:A9,B16)</f>
        <v>3</v>
      </c>
      <c r="D16" s="1">
        <f>C16/C$17</f>
        <v>0.375</v>
      </c>
      <c r="E16" s="1">
        <f>LOG(D16,2)</f>
        <v>-1.4150374992788437</v>
      </c>
      <c r="I16" t="s">
        <v>9</v>
      </c>
      <c r="J16" s="1">
        <f>COUNTIF(B2:B9,I16)</f>
        <v>5</v>
      </c>
      <c r="K16" s="1">
        <f>J16/J$17</f>
        <v>0.625</v>
      </c>
      <c r="L16" s="1">
        <f>LOG(K16,2)</f>
        <v>-0.67807190511263771</v>
      </c>
      <c r="O16" t="s">
        <v>11</v>
      </c>
      <c r="P16" s="1">
        <f>COUNTIF(C3:C10,O16)</f>
        <v>1</v>
      </c>
      <c r="Q16" s="1">
        <f>P16/P$18</f>
        <v>0.125</v>
      </c>
      <c r="R16" s="1">
        <f>LOG(Q16,2)</f>
        <v>-3</v>
      </c>
      <c r="T16" t="s">
        <v>10</v>
      </c>
      <c r="U16" s="1">
        <f>COUNTIF(D3:D10,T16)</f>
        <v>5</v>
      </c>
      <c r="V16" s="1">
        <f>U16/U$17</f>
        <v>0.625</v>
      </c>
      <c r="W16" s="1">
        <f>LOG(V16,2)</f>
        <v>-0.67807190511263771</v>
      </c>
    </row>
    <row r="17" spans="1:21" x14ac:dyDescent="0.2">
      <c r="B17" s="12" t="s">
        <v>19</v>
      </c>
      <c r="C17" s="2">
        <f>SUM(C15:C16)</f>
        <v>8</v>
      </c>
      <c r="I17" s="12" t="s">
        <v>19</v>
      </c>
      <c r="J17" s="2">
        <f>SUM(J15:J16)</f>
        <v>8</v>
      </c>
      <c r="O17" t="s">
        <v>12</v>
      </c>
      <c r="P17" s="1">
        <f>COUNTIF(C4:C11,O17)</f>
        <v>3</v>
      </c>
      <c r="Q17" s="1">
        <f>P17/P$18</f>
        <v>0.375</v>
      </c>
      <c r="R17" s="1">
        <f>LOG(Q17,2)</f>
        <v>-1.4150374992788437</v>
      </c>
      <c r="T17" s="12" t="s">
        <v>19</v>
      </c>
      <c r="U17" s="2">
        <f>SUM(U15:U16)</f>
        <v>8</v>
      </c>
    </row>
    <row r="18" spans="1:21" x14ac:dyDescent="0.2">
      <c r="O18" s="12" t="s">
        <v>19</v>
      </c>
      <c r="P18" s="2">
        <f>SUM(P15:P17)</f>
        <v>8</v>
      </c>
    </row>
    <row r="22" spans="1:21" x14ac:dyDescent="0.2">
      <c r="B22" s="8" t="s">
        <v>0</v>
      </c>
      <c r="E22" s="1" t="s">
        <v>21</v>
      </c>
      <c r="F22" s="1" t="s">
        <v>20</v>
      </c>
      <c r="I22" s="8" t="s">
        <v>1</v>
      </c>
      <c r="L22" s="1" t="s">
        <v>21</v>
      </c>
      <c r="M22" s="1" t="s">
        <v>20</v>
      </c>
      <c r="O22" s="8" t="s">
        <v>15</v>
      </c>
      <c r="R22" s="1" t="s">
        <v>21</v>
      </c>
      <c r="S22" s="1" t="s">
        <v>20</v>
      </c>
    </row>
    <row r="23" spans="1:21" x14ac:dyDescent="0.2">
      <c r="B23" s="4" t="s">
        <v>4</v>
      </c>
      <c r="C23" s="4" t="s">
        <v>7</v>
      </c>
      <c r="D23" s="5">
        <f>COUNTIFS(A$2:A$9,B$23,D$2:D$9,C23)</f>
        <v>3</v>
      </c>
      <c r="E23" s="1">
        <f>D23/D$25</f>
        <v>0.6</v>
      </c>
      <c r="F23" s="1">
        <f>LOG(E23,2)</f>
        <v>-0.73696559416620622</v>
      </c>
      <c r="I23" s="4" t="s">
        <v>5</v>
      </c>
      <c r="J23" s="4" t="s">
        <v>7</v>
      </c>
      <c r="K23" s="5">
        <f>COUNTIFS(B$2:B$9,I$23,D$2:D$9,J23)</f>
        <v>1</v>
      </c>
      <c r="L23" s="1">
        <f>K23/K$25</f>
        <v>0.33333333333333331</v>
      </c>
      <c r="M23" s="1">
        <f>LOG(L23,2)</f>
        <v>-1.5849625007211563</v>
      </c>
      <c r="O23" s="4" t="s">
        <v>6</v>
      </c>
      <c r="P23" s="4" t="s">
        <v>7</v>
      </c>
      <c r="Q23" s="5">
        <f>COUNTIFS(C$2:C$9,O$23,D$2:D$9,P23)</f>
        <v>2</v>
      </c>
      <c r="R23" s="1">
        <f>Q23/Q$25</f>
        <v>0.5</v>
      </c>
      <c r="S23" s="1">
        <f>LOG(R23,2)</f>
        <v>-1</v>
      </c>
    </row>
    <row r="24" spans="1:21" x14ac:dyDescent="0.2">
      <c r="B24" s="4"/>
      <c r="C24" s="4" t="s">
        <v>10</v>
      </c>
      <c r="D24" s="5">
        <f>COUNTIFS(A$2:A$9,B$23,D$2:D$9,C24)</f>
        <v>2</v>
      </c>
      <c r="E24" s="1">
        <f>D24/D$25</f>
        <v>0.4</v>
      </c>
      <c r="F24" s="1">
        <f>LOG(E24,2)</f>
        <v>-1.3219280948873622</v>
      </c>
      <c r="I24" s="4"/>
      <c r="J24" s="4" t="s">
        <v>10</v>
      </c>
      <c r="K24" s="5">
        <f>COUNTIFS(B$2:B$9,I$23,D$2:D$9,J24)</f>
        <v>2</v>
      </c>
      <c r="L24" s="1">
        <f>K24/K$25</f>
        <v>0.66666666666666663</v>
      </c>
      <c r="M24" s="1">
        <f>LOG(L24,2)</f>
        <v>-0.5849625007211563</v>
      </c>
      <c r="O24" s="4"/>
      <c r="P24" s="4" t="s">
        <v>10</v>
      </c>
      <c r="Q24" s="5">
        <f>COUNTIFS(C$2:C$9,O$23,D$2:D$9,P24)</f>
        <v>2</v>
      </c>
      <c r="R24" s="1">
        <f>Q24/Q$25</f>
        <v>0.5</v>
      </c>
      <c r="S24" s="1">
        <f>LOG(R24,2)</f>
        <v>-1</v>
      </c>
    </row>
    <row r="25" spans="1:21" x14ac:dyDescent="0.2">
      <c r="B25" s="4"/>
      <c r="C25" s="12" t="s">
        <v>19</v>
      </c>
      <c r="D25" s="2">
        <f>SUM(D23:D24)</f>
        <v>5</v>
      </c>
      <c r="I25" s="4"/>
      <c r="J25" s="12" t="s">
        <v>19</v>
      </c>
      <c r="K25" s="2">
        <f>SUM(K23:K24)</f>
        <v>3</v>
      </c>
      <c r="O25" s="4"/>
      <c r="P25" s="12" t="s">
        <v>19</v>
      </c>
      <c r="Q25" s="2">
        <f>SUM(Q23:Q24)</f>
        <v>4</v>
      </c>
    </row>
    <row r="26" spans="1:21" x14ac:dyDescent="0.2">
      <c r="B26" s="6" t="s">
        <v>8</v>
      </c>
      <c r="C26" s="6" t="s">
        <v>7</v>
      </c>
      <c r="D26" s="7">
        <f>COUNTIFS(A$2:A$9,B$26,D$2:D$9,C26)</f>
        <v>0</v>
      </c>
      <c r="E26" s="1">
        <f>D26/D$28</f>
        <v>0</v>
      </c>
      <c r="F26" s="11">
        <v>0</v>
      </c>
      <c r="G26" s="11" t="e">
        <f>LOG(F26,2)</f>
        <v>#NUM!</v>
      </c>
      <c r="I26" s="6" t="s">
        <v>9</v>
      </c>
      <c r="J26" s="6" t="s">
        <v>7</v>
      </c>
      <c r="K26" s="7">
        <f>COUNTIFS(B$2:B$9,I$26,D$2:D$9,J26)</f>
        <v>2</v>
      </c>
      <c r="L26" s="1">
        <f>K26/K$28</f>
        <v>0.4</v>
      </c>
      <c r="M26" s="1">
        <f>LOG(L26,2)</f>
        <v>-1.3219280948873622</v>
      </c>
      <c r="O26" s="6" t="s">
        <v>11</v>
      </c>
      <c r="P26" s="6" t="s">
        <v>7</v>
      </c>
      <c r="Q26" s="7">
        <f>COUNTIFS(C$2:C$9,O$26,D$2:D$9,P26)</f>
        <v>1</v>
      </c>
      <c r="R26" s="1">
        <f>Q26/Q$28</f>
        <v>1</v>
      </c>
      <c r="S26" s="1">
        <f>LOG(R26,2)</f>
        <v>0</v>
      </c>
    </row>
    <row r="27" spans="1:21" x14ac:dyDescent="0.2">
      <c r="B27" s="6"/>
      <c r="C27" s="6" t="s">
        <v>10</v>
      </c>
      <c r="D27" s="7">
        <f>COUNTIFS(A$2:A$9,B$26,D$2:D$9,C27)</f>
        <v>3</v>
      </c>
      <c r="E27" s="1">
        <f>D27/D$28</f>
        <v>1</v>
      </c>
      <c r="F27" s="1">
        <f>LOG(E27,2)</f>
        <v>0</v>
      </c>
      <c r="I27" s="6"/>
      <c r="J27" s="6" t="s">
        <v>10</v>
      </c>
      <c r="K27" s="7">
        <f>COUNTIFS(B$2:B$9,I$26,D$2:D$9,J27)</f>
        <v>3</v>
      </c>
      <c r="L27" s="1">
        <f>K27/K$28</f>
        <v>0.6</v>
      </c>
      <c r="M27" s="1">
        <f>LOG(L27,2)</f>
        <v>-0.73696559416620622</v>
      </c>
      <c r="O27" s="6"/>
      <c r="P27" s="6" t="s">
        <v>10</v>
      </c>
      <c r="Q27" s="7">
        <f>COUNTIFS(C$2:C$9,O$26,D$2:D$9,P27)</f>
        <v>0</v>
      </c>
      <c r="R27" s="1">
        <f>Q27/Q$28</f>
        <v>0</v>
      </c>
      <c r="S27" s="11">
        <v>0</v>
      </c>
      <c r="T27" s="11" t="e">
        <f>LOG(S27,2)</f>
        <v>#NUM!</v>
      </c>
    </row>
    <row r="28" spans="1:21" x14ac:dyDescent="0.2">
      <c r="C28" s="12" t="s">
        <v>19</v>
      </c>
      <c r="D28" s="2">
        <f>SUM(D26:D27)</f>
        <v>3</v>
      </c>
      <c r="J28" s="12" t="s">
        <v>19</v>
      </c>
      <c r="K28" s="2">
        <f>SUM(K26:K27)</f>
        <v>5</v>
      </c>
      <c r="P28" s="12" t="s">
        <v>19</v>
      </c>
      <c r="Q28" s="2">
        <f>SUM(Q26:Q27)</f>
        <v>1</v>
      </c>
    </row>
    <row r="29" spans="1:21" x14ac:dyDescent="0.2">
      <c r="O29" s="10" t="s">
        <v>12</v>
      </c>
      <c r="P29" s="10" t="s">
        <v>7</v>
      </c>
      <c r="Q29" s="11">
        <f>COUNTIFS(C$2:C$9,O$29,D$2:D$9,P29)</f>
        <v>0</v>
      </c>
      <c r="R29" s="1">
        <f>Q29/Q$31</f>
        <v>0</v>
      </c>
      <c r="S29" s="11">
        <v>0</v>
      </c>
      <c r="T29" s="11" t="e">
        <f>LOG(S29,2)</f>
        <v>#NUM!</v>
      </c>
    </row>
    <row r="30" spans="1:21" x14ac:dyDescent="0.2">
      <c r="O30" s="10"/>
      <c r="P30" s="10" t="s">
        <v>10</v>
      </c>
      <c r="Q30" s="11">
        <f>COUNTIFS(C$2:C$9,O$29,D$2:D$9,P30)</f>
        <v>3</v>
      </c>
      <c r="R30" s="1">
        <f>Q30/Q$31</f>
        <v>1</v>
      </c>
      <c r="S30" s="1">
        <f>LOG(R30,2)</f>
        <v>0</v>
      </c>
    </row>
    <row r="31" spans="1:21" x14ac:dyDescent="0.2">
      <c r="A31" t="s">
        <v>16</v>
      </c>
      <c r="B31" t="s">
        <v>17</v>
      </c>
      <c r="P31" s="12" t="s">
        <v>19</v>
      </c>
      <c r="Q31" s="2">
        <f>SUM(Q29:Q30)</f>
        <v>3</v>
      </c>
    </row>
    <row r="33" spans="1:5" x14ac:dyDescent="0.2">
      <c r="B33" t="s">
        <v>18</v>
      </c>
      <c r="C33" s="14">
        <f>-U15/U17*LOG(U15/U17,2)-U16/U17*LOG(U16/U17,2)</f>
        <v>0.95443400292496494</v>
      </c>
      <c r="E33" s="14">
        <f>-V15*W15-V16*W16</f>
        <v>0.95443400292496494</v>
      </c>
    </row>
    <row r="36" spans="1:5" x14ac:dyDescent="0.2">
      <c r="A36" t="s">
        <v>22</v>
      </c>
      <c r="B36" t="s">
        <v>23</v>
      </c>
    </row>
    <row r="38" spans="1:5" x14ac:dyDescent="0.2">
      <c r="B38" t="s">
        <v>0</v>
      </c>
    </row>
    <row r="39" spans="1:5" x14ac:dyDescent="0.2">
      <c r="B39" t="s">
        <v>24</v>
      </c>
      <c r="C39" s="14">
        <f>D15*(-E23*F23-E24*F24)+D16*(-E26*F26-E27*F27)</f>
        <v>0.60684412153416789</v>
      </c>
      <c r="E39" s="13">
        <f>E$33-C39</f>
        <v>0.34758988139079705</v>
      </c>
    </row>
    <row r="41" spans="1:5" x14ac:dyDescent="0.2">
      <c r="B41" t="s">
        <v>1</v>
      </c>
    </row>
    <row r="42" spans="1:5" x14ac:dyDescent="0.2">
      <c r="B42" t="s">
        <v>24</v>
      </c>
      <c r="C42" s="14">
        <f>K15*(-L23*M23-L24*M24)+K16*(-L26*M26-L27*M27)</f>
        <v>0.95120505930460153</v>
      </c>
      <c r="E42" s="13">
        <f>E$33-C42</f>
        <v>3.2289436203634114E-3</v>
      </c>
    </row>
    <row r="44" spans="1:5" x14ac:dyDescent="0.2">
      <c r="B44" t="s">
        <v>15</v>
      </c>
    </row>
    <row r="45" spans="1:5" x14ac:dyDescent="0.2">
      <c r="B45" t="s">
        <v>24</v>
      </c>
      <c r="C45" s="1">
        <f>Q15*(-R23*S23-R24*S24)+Q16*(-R26*S26-R27*S27)+Q17*(-R29*S29-R30*S30)</f>
        <v>0.5</v>
      </c>
      <c r="E45" s="15">
        <f>E$33-C45</f>
        <v>0.45443400292496494</v>
      </c>
    </row>
  </sheetData>
  <autoFilter ref="A1:D9" xr:uid="{2E29941B-EF84-4F4B-8E01-698BB91DB030}">
    <filterColumn colId="2">
      <filters>
        <filter val="Mediano"/>
      </filters>
    </filterColumn>
  </autoFilter>
  <mergeCells count="2">
    <mergeCell ref="B12:E12"/>
    <mergeCell ref="B14:C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A5BE-1192-9947-987B-67B4EF475E14}">
  <sheetPr filterMode="1"/>
  <dimension ref="A1:W45"/>
  <sheetViews>
    <sheetView workbookViewId="0">
      <selection activeCell="H14" sqref="H14"/>
    </sheetView>
  </sheetViews>
  <sheetFormatPr baseColWidth="10" defaultRowHeight="16" x14ac:dyDescent="0.2"/>
  <cols>
    <col min="16" max="16" width="12.664062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23" hidden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23" hidden="1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23" hidden="1" x14ac:dyDescent="0.2">
      <c r="A4" s="1" t="s">
        <v>4</v>
      </c>
      <c r="B4" s="1" t="s">
        <v>9</v>
      </c>
      <c r="C4" s="1" t="s">
        <v>11</v>
      </c>
      <c r="D4" s="1" t="s">
        <v>7</v>
      </c>
    </row>
    <row r="5" spans="1:23" x14ac:dyDescent="0.2">
      <c r="A5" s="1" t="s">
        <v>4</v>
      </c>
      <c r="B5" s="1" t="s">
        <v>5</v>
      </c>
      <c r="C5" s="1" t="s">
        <v>12</v>
      </c>
      <c r="D5" s="1" t="s">
        <v>10</v>
      </c>
    </row>
    <row r="6" spans="1:23" x14ac:dyDescent="0.2">
      <c r="A6" s="1" t="s">
        <v>4</v>
      </c>
      <c r="B6" s="1" t="s">
        <v>9</v>
      </c>
      <c r="C6" s="1" t="s">
        <v>12</v>
      </c>
      <c r="D6" s="1" t="s">
        <v>10</v>
      </c>
    </row>
    <row r="7" spans="1:23" hidden="1" x14ac:dyDescent="0.2">
      <c r="A7" s="1" t="s">
        <v>4</v>
      </c>
      <c r="B7" s="1" t="s">
        <v>9</v>
      </c>
      <c r="C7" s="1" t="s">
        <v>6</v>
      </c>
      <c r="D7" s="1" t="s">
        <v>7</v>
      </c>
    </row>
    <row r="8" spans="1:23" x14ac:dyDescent="0.2">
      <c r="A8" s="1" t="s">
        <v>8</v>
      </c>
      <c r="B8" s="1" t="s">
        <v>9</v>
      </c>
      <c r="C8" s="1" t="s">
        <v>12</v>
      </c>
      <c r="D8" s="1" t="s">
        <v>10</v>
      </c>
    </row>
    <row r="9" spans="1:23" hidden="1" x14ac:dyDescent="0.2">
      <c r="A9" s="1" t="s">
        <v>8</v>
      </c>
      <c r="B9" s="1" t="s">
        <v>5</v>
      </c>
      <c r="C9" s="1" t="s">
        <v>6</v>
      </c>
      <c r="D9" s="1" t="s">
        <v>10</v>
      </c>
    </row>
    <row r="12" spans="1:23" x14ac:dyDescent="0.2">
      <c r="A12" s="1" t="s">
        <v>13</v>
      </c>
      <c r="B12" s="3" t="s">
        <v>14</v>
      </c>
      <c r="C12" s="3"/>
      <c r="D12" s="3"/>
      <c r="E12" s="3"/>
    </row>
    <row r="14" spans="1:23" x14ac:dyDescent="0.2">
      <c r="B14" s="9" t="s">
        <v>0</v>
      </c>
      <c r="C14" s="9"/>
      <c r="D14" s="1" t="s">
        <v>21</v>
      </c>
      <c r="E14" s="1" t="s">
        <v>20</v>
      </c>
      <c r="I14" s="8" t="s">
        <v>1</v>
      </c>
      <c r="K14" s="1" t="s">
        <v>21</v>
      </c>
      <c r="L14" s="1" t="s">
        <v>20</v>
      </c>
      <c r="O14" s="8" t="s">
        <v>15</v>
      </c>
      <c r="Q14" s="1" t="s">
        <v>21</v>
      </c>
      <c r="R14" s="1" t="s">
        <v>20</v>
      </c>
      <c r="T14" t="s">
        <v>3</v>
      </c>
      <c r="V14" s="1" t="s">
        <v>21</v>
      </c>
      <c r="W14" s="1" t="s">
        <v>20</v>
      </c>
    </row>
    <row r="15" spans="1:23" x14ac:dyDescent="0.2">
      <c r="B15" s="1" t="s">
        <v>4</v>
      </c>
      <c r="C15" s="1">
        <f>COUNTIF(A2:A9,B15)</f>
        <v>5</v>
      </c>
      <c r="D15" s="1">
        <f>C15/C$17</f>
        <v>0.625</v>
      </c>
      <c r="E15" s="1">
        <f>LOG(D15,2)</f>
        <v>-0.67807190511263771</v>
      </c>
      <c r="I15" t="s">
        <v>5</v>
      </c>
      <c r="J15" s="1">
        <f>COUNTIF(B2:B9,I15)</f>
        <v>3</v>
      </c>
      <c r="K15" s="1">
        <f>J15/J$17</f>
        <v>0.375</v>
      </c>
      <c r="L15" s="1">
        <f>LOG(K15,2)</f>
        <v>-1.4150374992788437</v>
      </c>
      <c r="O15" t="s">
        <v>6</v>
      </c>
      <c r="P15" s="1">
        <f>COUNTIF(C2:C9,O15)</f>
        <v>4</v>
      </c>
      <c r="Q15" s="1">
        <f>P15/P$18</f>
        <v>0.5</v>
      </c>
      <c r="R15" s="1">
        <f>LOG(Q15,2)</f>
        <v>-1</v>
      </c>
      <c r="T15" t="s">
        <v>7</v>
      </c>
      <c r="U15" s="1">
        <f>COUNTIF(D2:D9,T15)</f>
        <v>3</v>
      </c>
      <c r="V15" s="1">
        <f>U15/U$17</f>
        <v>0.375</v>
      </c>
      <c r="W15" s="1">
        <f>LOG(V15,2)</f>
        <v>-1.4150374992788437</v>
      </c>
    </row>
    <row r="16" spans="1:23" x14ac:dyDescent="0.2">
      <c r="B16" s="1" t="s">
        <v>8</v>
      </c>
      <c r="C16" s="1">
        <f>COUNTIF(A2:A9,B16)</f>
        <v>3</v>
      </c>
      <c r="D16" s="1">
        <f>C16/C$17</f>
        <v>0.375</v>
      </c>
      <c r="E16" s="1">
        <f>LOG(D16,2)</f>
        <v>-1.4150374992788437</v>
      </c>
      <c r="I16" t="s">
        <v>9</v>
      </c>
      <c r="J16" s="1">
        <f>COUNTIF(B2:B9,I16)</f>
        <v>5</v>
      </c>
      <c r="K16" s="1">
        <f>J16/J$17</f>
        <v>0.625</v>
      </c>
      <c r="L16" s="1">
        <f>LOG(K16,2)</f>
        <v>-0.67807190511263771</v>
      </c>
      <c r="O16" t="s">
        <v>11</v>
      </c>
      <c r="P16" s="1">
        <f>COUNTIF(C3:C10,O16)</f>
        <v>1</v>
      </c>
      <c r="Q16" s="1">
        <f>P16/P$18</f>
        <v>0.125</v>
      </c>
      <c r="R16" s="1">
        <f>LOG(Q16,2)</f>
        <v>-3</v>
      </c>
      <c r="T16" t="s">
        <v>10</v>
      </c>
      <c r="U16" s="1">
        <f>COUNTIF(D3:D10,T16)</f>
        <v>5</v>
      </c>
      <c r="V16" s="1">
        <f>U16/U$17</f>
        <v>0.625</v>
      </c>
      <c r="W16" s="1">
        <f>LOG(V16,2)</f>
        <v>-0.67807190511263771</v>
      </c>
    </row>
    <row r="17" spans="1:21" x14ac:dyDescent="0.2">
      <c r="B17" s="12" t="s">
        <v>19</v>
      </c>
      <c r="C17" s="2">
        <f>SUM(C15:C16)</f>
        <v>8</v>
      </c>
      <c r="I17" s="12" t="s">
        <v>19</v>
      </c>
      <c r="J17" s="2">
        <f>SUM(J15:J16)</f>
        <v>8</v>
      </c>
      <c r="O17" t="s">
        <v>12</v>
      </c>
      <c r="P17" s="1">
        <f>COUNTIF(C4:C11,O17)</f>
        <v>3</v>
      </c>
      <c r="Q17" s="1">
        <f>P17/P$18</f>
        <v>0.375</v>
      </c>
      <c r="R17" s="1">
        <f>LOG(Q17,2)</f>
        <v>-1.4150374992788437</v>
      </c>
      <c r="T17" s="12" t="s">
        <v>19</v>
      </c>
      <c r="U17" s="2">
        <f>SUM(U15:U16)</f>
        <v>8</v>
      </c>
    </row>
    <row r="18" spans="1:21" x14ac:dyDescent="0.2">
      <c r="O18" s="12" t="s">
        <v>19</v>
      </c>
      <c r="P18" s="2">
        <f>SUM(P15:P17)</f>
        <v>8</v>
      </c>
    </row>
    <row r="22" spans="1:21" x14ac:dyDescent="0.2">
      <c r="B22" s="8" t="s">
        <v>0</v>
      </c>
      <c r="E22" s="1" t="s">
        <v>21</v>
      </c>
      <c r="F22" s="1" t="s">
        <v>20</v>
      </c>
      <c r="I22" s="8" t="s">
        <v>1</v>
      </c>
      <c r="L22" s="1" t="s">
        <v>21</v>
      </c>
      <c r="M22" s="1" t="s">
        <v>20</v>
      </c>
      <c r="O22" s="8" t="s">
        <v>15</v>
      </c>
      <c r="R22" s="1" t="s">
        <v>21</v>
      </c>
      <c r="S22" s="1" t="s">
        <v>20</v>
      </c>
    </row>
    <row r="23" spans="1:21" x14ac:dyDescent="0.2">
      <c r="B23" s="4" t="s">
        <v>4</v>
      </c>
      <c r="C23" s="4" t="s">
        <v>7</v>
      </c>
      <c r="D23" s="5">
        <f>COUNTIFS(A$2:A$9,B$23,D$2:D$9,C23)</f>
        <v>3</v>
      </c>
      <c r="E23" s="1">
        <f>D23/D$25</f>
        <v>0.6</v>
      </c>
      <c r="F23" s="1">
        <f>LOG(E23,2)</f>
        <v>-0.73696559416620622</v>
      </c>
      <c r="I23" s="4" t="s">
        <v>5</v>
      </c>
      <c r="J23" s="4" t="s">
        <v>7</v>
      </c>
      <c r="K23" s="5">
        <f>COUNTIFS(B$2:B$9,I$23,D$2:D$9,J23)</f>
        <v>1</v>
      </c>
      <c r="L23" s="1">
        <f>K23/K$25</f>
        <v>0.33333333333333331</v>
      </c>
      <c r="M23" s="1">
        <f>LOG(L23,2)</f>
        <v>-1.5849625007211563</v>
      </c>
      <c r="O23" s="4" t="s">
        <v>6</v>
      </c>
      <c r="P23" s="4" t="s">
        <v>7</v>
      </c>
      <c r="Q23" s="5">
        <f>COUNTIFS(C$2:C$9,O$23,D$2:D$9,P23)</f>
        <v>2</v>
      </c>
      <c r="R23" s="1">
        <f>Q23/Q$25</f>
        <v>0.5</v>
      </c>
      <c r="S23" s="1">
        <f>LOG(R23,2)</f>
        <v>-1</v>
      </c>
    </row>
    <row r="24" spans="1:21" x14ac:dyDescent="0.2">
      <c r="B24" s="4"/>
      <c r="C24" s="4" t="s">
        <v>10</v>
      </c>
      <c r="D24" s="5">
        <f>COUNTIFS(A$2:A$9,B$23,D$2:D$9,C24)</f>
        <v>2</v>
      </c>
      <c r="E24" s="1">
        <f>D24/D$25</f>
        <v>0.4</v>
      </c>
      <c r="F24" s="1">
        <f>LOG(E24,2)</f>
        <v>-1.3219280948873622</v>
      </c>
      <c r="I24" s="4"/>
      <c r="J24" s="4" t="s">
        <v>10</v>
      </c>
      <c r="K24" s="5">
        <f>COUNTIFS(B$2:B$9,I$23,D$2:D$9,J24)</f>
        <v>2</v>
      </c>
      <c r="L24" s="1">
        <f>K24/K$25</f>
        <v>0.66666666666666663</v>
      </c>
      <c r="M24" s="1">
        <f>LOG(L24,2)</f>
        <v>-0.5849625007211563</v>
      </c>
      <c r="O24" s="4"/>
      <c r="P24" s="4" t="s">
        <v>10</v>
      </c>
      <c r="Q24" s="5">
        <f>COUNTIFS(C$2:C$9,O$23,D$2:D$9,P24)</f>
        <v>2</v>
      </c>
      <c r="R24" s="1">
        <f>Q24/Q$25</f>
        <v>0.5</v>
      </c>
      <c r="S24" s="1">
        <f>LOG(R24,2)</f>
        <v>-1</v>
      </c>
    </row>
    <row r="25" spans="1:21" x14ac:dyDescent="0.2">
      <c r="B25" s="4"/>
      <c r="C25" s="12" t="s">
        <v>19</v>
      </c>
      <c r="D25" s="2">
        <f>SUM(D23:D24)</f>
        <v>5</v>
      </c>
      <c r="I25" s="4"/>
      <c r="J25" s="12" t="s">
        <v>19</v>
      </c>
      <c r="K25" s="2">
        <f>SUM(K23:K24)</f>
        <v>3</v>
      </c>
      <c r="O25" s="4"/>
      <c r="P25" s="12" t="s">
        <v>19</v>
      </c>
      <c r="Q25" s="2">
        <f>SUM(Q23:Q24)</f>
        <v>4</v>
      </c>
    </row>
    <row r="26" spans="1:21" x14ac:dyDescent="0.2">
      <c r="B26" s="6" t="s">
        <v>8</v>
      </c>
      <c r="C26" s="6" t="s">
        <v>7</v>
      </c>
      <c r="D26" s="7">
        <f>COUNTIFS(A$2:A$9,B$26,D$2:D$9,C26)</f>
        <v>0</v>
      </c>
      <c r="E26" s="1">
        <f>D26/D$28</f>
        <v>0</v>
      </c>
      <c r="F26" s="11">
        <v>0</v>
      </c>
      <c r="G26" s="11" t="e">
        <f>LOG(F26,2)</f>
        <v>#NUM!</v>
      </c>
      <c r="I26" s="6" t="s">
        <v>9</v>
      </c>
      <c r="J26" s="6" t="s">
        <v>7</v>
      </c>
      <c r="K26" s="7">
        <f>COUNTIFS(B$2:B$9,I$26,D$2:D$9,J26)</f>
        <v>2</v>
      </c>
      <c r="L26" s="1">
        <f>K26/K$28</f>
        <v>0.4</v>
      </c>
      <c r="M26" s="1">
        <f>LOG(L26,2)</f>
        <v>-1.3219280948873622</v>
      </c>
      <c r="O26" s="6" t="s">
        <v>11</v>
      </c>
      <c r="P26" s="6" t="s">
        <v>7</v>
      </c>
      <c r="Q26" s="7">
        <f>COUNTIFS(C$2:C$9,O$26,D$2:D$9,P26)</f>
        <v>1</v>
      </c>
      <c r="R26" s="1">
        <f>Q26/Q$28</f>
        <v>1</v>
      </c>
      <c r="S26" s="1">
        <f>LOG(R26,2)</f>
        <v>0</v>
      </c>
    </row>
    <row r="27" spans="1:21" x14ac:dyDescent="0.2">
      <c r="B27" s="6"/>
      <c r="C27" s="6" t="s">
        <v>10</v>
      </c>
      <c r="D27" s="7">
        <f>COUNTIFS(A$2:A$9,B$26,D$2:D$9,C27)</f>
        <v>3</v>
      </c>
      <c r="E27" s="1">
        <f>D27/D$28</f>
        <v>1</v>
      </c>
      <c r="F27" s="1">
        <f>LOG(E27,2)</f>
        <v>0</v>
      </c>
      <c r="I27" s="6"/>
      <c r="J27" s="6" t="s">
        <v>10</v>
      </c>
      <c r="K27" s="7">
        <f>COUNTIFS(B$2:B$9,I$26,D$2:D$9,J27)</f>
        <v>3</v>
      </c>
      <c r="L27" s="1">
        <f>K27/K$28</f>
        <v>0.6</v>
      </c>
      <c r="M27" s="1">
        <f>LOG(L27,2)</f>
        <v>-0.73696559416620622</v>
      </c>
      <c r="O27" s="6"/>
      <c r="P27" s="6" t="s">
        <v>10</v>
      </c>
      <c r="Q27" s="7">
        <f>COUNTIFS(C$2:C$9,O$26,D$2:D$9,P27)</f>
        <v>0</v>
      </c>
      <c r="R27" s="1">
        <f>Q27/Q$28</f>
        <v>0</v>
      </c>
      <c r="S27" s="11">
        <v>0</v>
      </c>
      <c r="T27" s="11" t="e">
        <f>LOG(S27,2)</f>
        <v>#NUM!</v>
      </c>
    </row>
    <row r="28" spans="1:21" x14ac:dyDescent="0.2">
      <c r="C28" s="12" t="s">
        <v>19</v>
      </c>
      <c r="D28" s="2">
        <f>SUM(D26:D27)</f>
        <v>3</v>
      </c>
      <c r="J28" s="12" t="s">
        <v>19</v>
      </c>
      <c r="K28" s="2">
        <f>SUM(K26:K27)</f>
        <v>5</v>
      </c>
      <c r="P28" s="12" t="s">
        <v>19</v>
      </c>
      <c r="Q28" s="2">
        <f>SUM(Q26:Q27)</f>
        <v>1</v>
      </c>
    </row>
    <row r="29" spans="1:21" x14ac:dyDescent="0.2">
      <c r="O29" s="10" t="s">
        <v>12</v>
      </c>
      <c r="P29" s="10" t="s">
        <v>7</v>
      </c>
      <c r="Q29" s="11">
        <f>COUNTIFS(C$2:C$9,O$29,D$2:D$9,P29)</f>
        <v>0</v>
      </c>
      <c r="R29" s="1">
        <f>Q29/Q$31</f>
        <v>0</v>
      </c>
      <c r="S29" s="11">
        <v>0</v>
      </c>
      <c r="T29" s="11" t="e">
        <f>LOG(S29,2)</f>
        <v>#NUM!</v>
      </c>
    </row>
    <row r="30" spans="1:21" x14ac:dyDescent="0.2">
      <c r="O30" s="10"/>
      <c r="P30" s="10" t="s">
        <v>10</v>
      </c>
      <c r="Q30" s="11">
        <f>COUNTIFS(C$2:C$9,O$29,D$2:D$9,P30)</f>
        <v>3</v>
      </c>
      <c r="R30" s="1">
        <f>Q30/Q$31</f>
        <v>1</v>
      </c>
      <c r="S30" s="1">
        <f>LOG(R30,2)</f>
        <v>0</v>
      </c>
    </row>
    <row r="31" spans="1:21" x14ac:dyDescent="0.2">
      <c r="A31" t="s">
        <v>16</v>
      </c>
      <c r="B31" t="s">
        <v>17</v>
      </c>
      <c r="P31" s="12" t="s">
        <v>19</v>
      </c>
      <c r="Q31" s="2">
        <f>SUM(Q29:Q30)</f>
        <v>3</v>
      </c>
    </row>
    <row r="33" spans="1:5" x14ac:dyDescent="0.2">
      <c r="B33" t="s">
        <v>18</v>
      </c>
      <c r="C33" s="14">
        <f>-U15/U17*LOG(U15/U17,2)-U16/U17*LOG(U16/U17,2)</f>
        <v>0.95443400292496494</v>
      </c>
      <c r="E33" s="14">
        <f>-V15*W15-V16*W16</f>
        <v>0.95443400292496494</v>
      </c>
    </row>
    <row r="36" spans="1:5" x14ac:dyDescent="0.2">
      <c r="A36" t="s">
        <v>22</v>
      </c>
      <c r="B36" t="s">
        <v>23</v>
      </c>
    </row>
    <row r="38" spans="1:5" x14ac:dyDescent="0.2">
      <c r="B38" t="s">
        <v>0</v>
      </c>
    </row>
    <row r="39" spans="1:5" x14ac:dyDescent="0.2">
      <c r="B39" t="s">
        <v>24</v>
      </c>
      <c r="C39" s="14">
        <f>D15*(-E23*F23-E24*F24)+D16*(-E26*F26-E27*F27)</f>
        <v>0.60684412153416789</v>
      </c>
      <c r="E39" s="13">
        <f>E$33-C39</f>
        <v>0.34758988139079705</v>
      </c>
    </row>
    <row r="41" spans="1:5" x14ac:dyDescent="0.2">
      <c r="B41" t="s">
        <v>1</v>
      </c>
    </row>
    <row r="42" spans="1:5" x14ac:dyDescent="0.2">
      <c r="B42" t="s">
        <v>24</v>
      </c>
      <c r="C42" s="14">
        <f>K15*(-L23*M23-L24*M24)+K16*(-L26*M26-L27*M27)</f>
        <v>0.95120505930460153</v>
      </c>
      <c r="E42" s="13">
        <f>E$33-C42</f>
        <v>3.2289436203634114E-3</v>
      </c>
    </row>
    <row r="44" spans="1:5" x14ac:dyDescent="0.2">
      <c r="B44" t="s">
        <v>15</v>
      </c>
    </row>
    <row r="45" spans="1:5" x14ac:dyDescent="0.2">
      <c r="B45" t="s">
        <v>24</v>
      </c>
      <c r="C45" s="1">
        <f>Q15*(-R23*S23-R24*S24)+Q16*(-R26*S26-R27*S27)+Q17*(-R29*S29-R30*S30)</f>
        <v>0.5</v>
      </c>
      <c r="E45" s="15">
        <f>E$33-C45</f>
        <v>0.45443400292496494</v>
      </c>
    </row>
  </sheetData>
  <autoFilter ref="A1:D9" xr:uid="{2E29941B-EF84-4F4B-8E01-698BB91DB030}">
    <filterColumn colId="2">
      <filters>
        <filter val="Pequeno"/>
      </filters>
    </filterColumn>
  </autoFilter>
  <mergeCells count="2">
    <mergeCell ref="B12:E12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InstanciaLeon</vt:lpstr>
      <vt:lpstr>TamGrande</vt:lpstr>
      <vt:lpstr>TamMediano</vt:lpstr>
      <vt:lpstr>TamPequeno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Garcia Ruiz Alejandro Humberto</cp:lastModifiedBy>
  <dcterms:created xsi:type="dcterms:W3CDTF">2026-09-22T14:12:28Z</dcterms:created>
  <dcterms:modified xsi:type="dcterms:W3CDTF">2026-09-22T15:13:30Z</dcterms:modified>
</cp:coreProperties>
</file>