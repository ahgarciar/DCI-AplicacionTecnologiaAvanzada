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P15_KMeans/"/>
    </mc:Choice>
  </mc:AlternateContent>
  <xr:revisionPtr revIDLastSave="0" documentId="13_ncr:9_{603FFCF3-4301-B846-9114-E738E4B42340}" xr6:coauthVersionLast="47" xr6:coauthVersionMax="47" xr10:uidLastSave="{00000000-0000-0000-0000-000000000000}"/>
  <bookViews>
    <workbookView xWindow="0" yWindow="520" windowWidth="26240" windowHeight="14820" activeTab="1" xr2:uid="{B861F7BE-74BD-DD4E-8B4E-5B515469D7FA}"/>
  </bookViews>
  <sheets>
    <sheet name="Clase" sheetId="1" r:id="rId1"/>
    <sheet name="Clase (2)" sheetId="5" r:id="rId2"/>
    <sheet name="Sheet2" sheetId="4" r:id="rId3"/>
    <sheet name="Casa" sheetId="2" r:id="rId4"/>
  </sheets>
  <definedNames>
    <definedName name="_xlnm._FilterDatabase" localSheetId="2" hidden="1">Sheet2!$A$1:$F$121</definedName>
  </definedNames>
  <calcPr calcId="0"/>
</workbook>
</file>

<file path=xl/calcChain.xml><?xml version="1.0" encoding="utf-8"?>
<calcChain xmlns="http://schemas.openxmlformats.org/spreadsheetml/2006/main">
  <c r="AL2" i="1" l="1"/>
  <c r="AK2" i="1"/>
  <c r="AJ2" i="1"/>
  <c r="AI2" i="1"/>
  <c r="AR2" i="1"/>
  <c r="AQ2" i="1"/>
  <c r="AP2" i="1"/>
  <c r="AQ2" i="5"/>
  <c r="AP2" i="5"/>
  <c r="W124" i="5"/>
  <c r="V124" i="5"/>
  <c r="U124" i="5"/>
  <c r="T124" i="5"/>
  <c r="X124" i="5" s="1"/>
  <c r="R124" i="5"/>
  <c r="Q124" i="5"/>
  <c r="P124" i="5"/>
  <c r="O124" i="5"/>
  <c r="M124" i="5"/>
  <c r="L124" i="5"/>
  <c r="K124" i="5"/>
  <c r="J124" i="5"/>
  <c r="W123" i="5"/>
  <c r="V123" i="5"/>
  <c r="U123" i="5"/>
  <c r="T123" i="5"/>
  <c r="R123" i="5"/>
  <c r="Q123" i="5"/>
  <c r="P123" i="5"/>
  <c r="O123" i="5"/>
  <c r="S123" i="5" s="1"/>
  <c r="M123" i="5"/>
  <c r="N123" i="5" s="1"/>
  <c r="L123" i="5"/>
  <c r="K123" i="5"/>
  <c r="J123" i="5"/>
  <c r="W122" i="5"/>
  <c r="V122" i="5"/>
  <c r="U122" i="5"/>
  <c r="T122" i="5"/>
  <c r="X122" i="5" s="1"/>
  <c r="R122" i="5"/>
  <c r="Q122" i="5"/>
  <c r="P122" i="5"/>
  <c r="O122" i="5"/>
  <c r="N122" i="5"/>
  <c r="M122" i="5"/>
  <c r="L122" i="5"/>
  <c r="K122" i="5"/>
  <c r="J122" i="5"/>
  <c r="W121" i="5"/>
  <c r="V121" i="5"/>
  <c r="U121" i="5"/>
  <c r="T121" i="5"/>
  <c r="R121" i="5"/>
  <c r="Q121" i="5"/>
  <c r="P121" i="5"/>
  <c r="O121" i="5"/>
  <c r="S121" i="5" s="1"/>
  <c r="M121" i="5"/>
  <c r="L121" i="5"/>
  <c r="K121" i="5"/>
  <c r="J121" i="5"/>
  <c r="W120" i="5"/>
  <c r="V120" i="5"/>
  <c r="U120" i="5"/>
  <c r="T120" i="5"/>
  <c r="X120" i="5" s="1"/>
  <c r="R120" i="5"/>
  <c r="Q120" i="5"/>
  <c r="P120" i="5"/>
  <c r="O120" i="5"/>
  <c r="M120" i="5"/>
  <c r="L120" i="5"/>
  <c r="K120" i="5"/>
  <c r="J120" i="5"/>
  <c r="W119" i="5"/>
  <c r="V119" i="5"/>
  <c r="U119" i="5"/>
  <c r="T119" i="5"/>
  <c r="X119" i="5" s="1"/>
  <c r="R119" i="5"/>
  <c r="Q119" i="5"/>
  <c r="S119" i="5" s="1"/>
  <c r="P119" i="5"/>
  <c r="O119" i="5"/>
  <c r="M119" i="5"/>
  <c r="L119" i="5"/>
  <c r="K119" i="5"/>
  <c r="J119" i="5"/>
  <c r="W118" i="5"/>
  <c r="V118" i="5"/>
  <c r="U118" i="5"/>
  <c r="T118" i="5"/>
  <c r="R118" i="5"/>
  <c r="Q118" i="5"/>
  <c r="P118" i="5"/>
  <c r="O118" i="5"/>
  <c r="N118" i="5"/>
  <c r="M118" i="5"/>
  <c r="L118" i="5"/>
  <c r="K118" i="5"/>
  <c r="J118" i="5"/>
  <c r="W117" i="5"/>
  <c r="V117" i="5"/>
  <c r="U117" i="5"/>
  <c r="T117" i="5"/>
  <c r="R117" i="5"/>
  <c r="S117" i="5" s="1"/>
  <c r="Q117" i="5"/>
  <c r="P117" i="5"/>
  <c r="O117" i="5"/>
  <c r="M117" i="5"/>
  <c r="L117" i="5"/>
  <c r="K117" i="5"/>
  <c r="J117" i="5"/>
  <c r="N117" i="5" s="1"/>
  <c r="W116" i="5"/>
  <c r="V116" i="5"/>
  <c r="U116" i="5"/>
  <c r="T116" i="5"/>
  <c r="X116" i="5" s="1"/>
  <c r="R116" i="5"/>
  <c r="S116" i="5" s="1"/>
  <c r="Q116" i="5"/>
  <c r="P116" i="5"/>
  <c r="O116" i="5"/>
  <c r="M116" i="5"/>
  <c r="L116" i="5"/>
  <c r="K116" i="5"/>
  <c r="J116" i="5"/>
  <c r="N116" i="5" s="1"/>
  <c r="W115" i="5"/>
  <c r="V115" i="5"/>
  <c r="U115" i="5"/>
  <c r="T115" i="5"/>
  <c r="X115" i="5" s="1"/>
  <c r="R115" i="5"/>
  <c r="Q115" i="5"/>
  <c r="P115" i="5"/>
  <c r="O115" i="5"/>
  <c r="S115" i="5" s="1"/>
  <c r="M115" i="5"/>
  <c r="L115" i="5"/>
  <c r="K115" i="5"/>
  <c r="J115" i="5"/>
  <c r="W114" i="5"/>
  <c r="V114" i="5"/>
  <c r="U114" i="5"/>
  <c r="T114" i="5"/>
  <c r="X114" i="5" s="1"/>
  <c r="R114" i="5"/>
  <c r="Q114" i="5"/>
  <c r="P114" i="5"/>
  <c r="O114" i="5"/>
  <c r="M114" i="5"/>
  <c r="L114" i="5"/>
  <c r="K114" i="5"/>
  <c r="J114" i="5"/>
  <c r="N114" i="5" s="1"/>
  <c r="W113" i="5"/>
  <c r="V113" i="5"/>
  <c r="U113" i="5"/>
  <c r="T113" i="5"/>
  <c r="R113" i="5"/>
  <c r="Q113" i="5"/>
  <c r="P113" i="5"/>
  <c r="O113" i="5"/>
  <c r="S113" i="5" s="1"/>
  <c r="M113" i="5"/>
  <c r="L113" i="5"/>
  <c r="K113" i="5"/>
  <c r="J113" i="5"/>
  <c r="W112" i="5"/>
  <c r="V112" i="5"/>
  <c r="U112" i="5"/>
  <c r="T112" i="5"/>
  <c r="X112" i="5" s="1"/>
  <c r="R112" i="5"/>
  <c r="Q112" i="5"/>
  <c r="P112" i="5"/>
  <c r="O112" i="5"/>
  <c r="M112" i="5"/>
  <c r="L112" i="5"/>
  <c r="K112" i="5"/>
  <c r="J112" i="5"/>
  <c r="N112" i="5" s="1"/>
  <c r="W111" i="5"/>
  <c r="V111" i="5"/>
  <c r="U111" i="5"/>
  <c r="T111" i="5"/>
  <c r="R111" i="5"/>
  <c r="Q111" i="5"/>
  <c r="P111" i="5"/>
  <c r="O111" i="5"/>
  <c r="S111" i="5" s="1"/>
  <c r="M111" i="5"/>
  <c r="L111" i="5"/>
  <c r="K111" i="5"/>
  <c r="J111" i="5"/>
  <c r="N111" i="5" s="1"/>
  <c r="W110" i="5"/>
  <c r="V110" i="5"/>
  <c r="U110" i="5"/>
  <c r="T110" i="5"/>
  <c r="X110" i="5" s="1"/>
  <c r="R110" i="5"/>
  <c r="Q110" i="5"/>
  <c r="P110" i="5"/>
  <c r="O110" i="5"/>
  <c r="S110" i="5" s="1"/>
  <c r="M110" i="5"/>
  <c r="L110" i="5"/>
  <c r="K110" i="5"/>
  <c r="J110" i="5"/>
  <c r="N110" i="5" s="1"/>
  <c r="W109" i="5"/>
  <c r="V109" i="5"/>
  <c r="U109" i="5"/>
  <c r="T109" i="5"/>
  <c r="X109" i="5" s="1"/>
  <c r="R109" i="5"/>
  <c r="Q109" i="5"/>
  <c r="P109" i="5"/>
  <c r="O109" i="5"/>
  <c r="S109" i="5" s="1"/>
  <c r="M109" i="5"/>
  <c r="L109" i="5"/>
  <c r="K109" i="5"/>
  <c r="J109" i="5"/>
  <c r="W108" i="5"/>
  <c r="V108" i="5"/>
  <c r="U108" i="5"/>
  <c r="T108" i="5"/>
  <c r="X108" i="5" s="1"/>
  <c r="R108" i="5"/>
  <c r="Q108" i="5"/>
  <c r="P108" i="5"/>
  <c r="O108" i="5"/>
  <c r="S108" i="5" s="1"/>
  <c r="M108" i="5"/>
  <c r="L108" i="5"/>
  <c r="K108" i="5"/>
  <c r="J108" i="5"/>
  <c r="W107" i="5"/>
  <c r="V107" i="5"/>
  <c r="U107" i="5"/>
  <c r="T107" i="5"/>
  <c r="R107" i="5"/>
  <c r="Q107" i="5"/>
  <c r="P107" i="5"/>
  <c r="O107" i="5"/>
  <c r="M107" i="5"/>
  <c r="L107" i="5"/>
  <c r="K107" i="5"/>
  <c r="J107" i="5"/>
  <c r="W106" i="5"/>
  <c r="V106" i="5"/>
  <c r="U106" i="5"/>
  <c r="T106" i="5"/>
  <c r="R106" i="5"/>
  <c r="Q106" i="5"/>
  <c r="P106" i="5"/>
  <c r="O106" i="5"/>
  <c r="S106" i="5" s="1"/>
  <c r="N106" i="5"/>
  <c r="M106" i="5"/>
  <c r="L106" i="5"/>
  <c r="K106" i="5"/>
  <c r="J106" i="5"/>
  <c r="W105" i="5"/>
  <c r="V105" i="5"/>
  <c r="U105" i="5"/>
  <c r="T105" i="5"/>
  <c r="R105" i="5"/>
  <c r="Q105" i="5"/>
  <c r="P105" i="5"/>
  <c r="O105" i="5"/>
  <c r="S105" i="5" s="1"/>
  <c r="M105" i="5"/>
  <c r="N105" i="5" s="1"/>
  <c r="L105" i="5"/>
  <c r="K105" i="5"/>
  <c r="J105" i="5"/>
  <c r="W104" i="5"/>
  <c r="V104" i="5"/>
  <c r="X104" i="5" s="1"/>
  <c r="U104" i="5"/>
  <c r="T104" i="5"/>
  <c r="R104" i="5"/>
  <c r="Q104" i="5"/>
  <c r="P104" i="5"/>
  <c r="O104" i="5"/>
  <c r="S104" i="5" s="1"/>
  <c r="M104" i="5"/>
  <c r="L104" i="5"/>
  <c r="K104" i="5"/>
  <c r="J104" i="5"/>
  <c r="X103" i="5"/>
  <c r="W103" i="5"/>
  <c r="V103" i="5"/>
  <c r="U103" i="5"/>
  <c r="T103" i="5"/>
  <c r="R103" i="5"/>
  <c r="Q103" i="5"/>
  <c r="P103" i="5"/>
  <c r="O103" i="5"/>
  <c r="M103" i="5"/>
  <c r="L103" i="5"/>
  <c r="K103" i="5"/>
  <c r="J103" i="5"/>
  <c r="W102" i="5"/>
  <c r="V102" i="5"/>
  <c r="U102" i="5"/>
  <c r="T102" i="5"/>
  <c r="R102" i="5"/>
  <c r="Q102" i="5"/>
  <c r="P102" i="5"/>
  <c r="O102" i="5"/>
  <c r="M102" i="5"/>
  <c r="L102" i="5"/>
  <c r="K102" i="5"/>
  <c r="J102" i="5"/>
  <c r="N102" i="5" s="1"/>
  <c r="W101" i="5"/>
  <c r="X101" i="5" s="1"/>
  <c r="V101" i="5"/>
  <c r="U101" i="5"/>
  <c r="T101" i="5"/>
  <c r="R101" i="5"/>
  <c r="Q101" i="5"/>
  <c r="P101" i="5"/>
  <c r="O101" i="5"/>
  <c r="M101" i="5"/>
  <c r="L101" i="5"/>
  <c r="K101" i="5"/>
  <c r="J101" i="5"/>
  <c r="W100" i="5"/>
  <c r="V100" i="5"/>
  <c r="U100" i="5"/>
  <c r="T100" i="5"/>
  <c r="R100" i="5"/>
  <c r="Q100" i="5"/>
  <c r="P100" i="5"/>
  <c r="S100" i="5" s="1"/>
  <c r="O100" i="5"/>
  <c r="M100" i="5"/>
  <c r="L100" i="5"/>
  <c r="K100" i="5"/>
  <c r="J100" i="5"/>
  <c r="N100" i="5" s="1"/>
  <c r="W99" i="5"/>
  <c r="V99" i="5"/>
  <c r="U99" i="5"/>
  <c r="T99" i="5"/>
  <c r="R99" i="5"/>
  <c r="Q99" i="5"/>
  <c r="P99" i="5"/>
  <c r="O99" i="5"/>
  <c r="M99" i="5"/>
  <c r="L99" i="5"/>
  <c r="K99" i="5"/>
  <c r="J99" i="5"/>
  <c r="N99" i="5" s="1"/>
  <c r="W98" i="5"/>
  <c r="V98" i="5"/>
  <c r="U98" i="5"/>
  <c r="T98" i="5"/>
  <c r="R98" i="5"/>
  <c r="Q98" i="5"/>
  <c r="P98" i="5"/>
  <c r="O98" i="5"/>
  <c r="M98" i="5"/>
  <c r="L98" i="5"/>
  <c r="K98" i="5"/>
  <c r="J98" i="5"/>
  <c r="N98" i="5" s="1"/>
  <c r="W97" i="5"/>
  <c r="V97" i="5"/>
  <c r="U97" i="5"/>
  <c r="T97" i="5"/>
  <c r="R97" i="5"/>
  <c r="Q97" i="5"/>
  <c r="S97" i="5" s="1"/>
  <c r="P97" i="5"/>
  <c r="O97" i="5"/>
  <c r="M97" i="5"/>
  <c r="L97" i="5"/>
  <c r="K97" i="5"/>
  <c r="J97" i="5"/>
  <c r="N97" i="5" s="1"/>
  <c r="X96" i="5"/>
  <c r="W96" i="5"/>
  <c r="V96" i="5"/>
  <c r="U96" i="5"/>
  <c r="T96" i="5"/>
  <c r="R96" i="5"/>
  <c r="Q96" i="5"/>
  <c r="P96" i="5"/>
  <c r="O96" i="5"/>
  <c r="M96" i="5"/>
  <c r="L96" i="5"/>
  <c r="K96" i="5"/>
  <c r="J96" i="5"/>
  <c r="W95" i="5"/>
  <c r="V95" i="5"/>
  <c r="U95" i="5"/>
  <c r="T95" i="5"/>
  <c r="R95" i="5"/>
  <c r="Q95" i="5"/>
  <c r="P95" i="5"/>
  <c r="O95" i="5"/>
  <c r="M95" i="5"/>
  <c r="L95" i="5"/>
  <c r="K95" i="5"/>
  <c r="J95" i="5"/>
  <c r="N95" i="5" s="1"/>
  <c r="W94" i="5"/>
  <c r="V94" i="5"/>
  <c r="X94" i="5" s="1"/>
  <c r="U94" i="5"/>
  <c r="T94" i="5"/>
  <c r="R94" i="5"/>
  <c r="Q94" i="5"/>
  <c r="P94" i="5"/>
  <c r="O94" i="5"/>
  <c r="M94" i="5"/>
  <c r="L94" i="5"/>
  <c r="K94" i="5"/>
  <c r="J94" i="5"/>
  <c r="N94" i="5" s="1"/>
  <c r="W93" i="5"/>
  <c r="V93" i="5"/>
  <c r="U93" i="5"/>
  <c r="T93" i="5"/>
  <c r="S93" i="5"/>
  <c r="R93" i="5"/>
  <c r="Q93" i="5"/>
  <c r="P93" i="5"/>
  <c r="O93" i="5"/>
  <c r="M93" i="5"/>
  <c r="L93" i="5"/>
  <c r="N93" i="5" s="1"/>
  <c r="K93" i="5"/>
  <c r="J93" i="5"/>
  <c r="X92" i="5"/>
  <c r="W92" i="5"/>
  <c r="V92" i="5"/>
  <c r="U92" i="5"/>
  <c r="T92" i="5"/>
  <c r="S92" i="5"/>
  <c r="R92" i="5"/>
  <c r="Q92" i="5"/>
  <c r="P92" i="5"/>
  <c r="O92" i="5"/>
  <c r="M92" i="5"/>
  <c r="L92" i="5"/>
  <c r="K92" i="5"/>
  <c r="J92" i="5"/>
  <c r="W91" i="5"/>
  <c r="V91" i="5"/>
  <c r="U91" i="5"/>
  <c r="T91" i="5"/>
  <c r="X91" i="5" s="1"/>
  <c r="R91" i="5"/>
  <c r="Q91" i="5"/>
  <c r="P91" i="5"/>
  <c r="O91" i="5"/>
  <c r="M91" i="5"/>
  <c r="N91" i="5" s="1"/>
  <c r="L91" i="5"/>
  <c r="K91" i="5"/>
  <c r="J91" i="5"/>
  <c r="W90" i="5"/>
  <c r="V90" i="5"/>
  <c r="U90" i="5"/>
  <c r="T90" i="5"/>
  <c r="X90" i="5" s="1"/>
  <c r="R90" i="5"/>
  <c r="Q90" i="5"/>
  <c r="P90" i="5"/>
  <c r="O90" i="5"/>
  <c r="M90" i="5"/>
  <c r="L90" i="5"/>
  <c r="K90" i="5"/>
  <c r="J90" i="5"/>
  <c r="W89" i="5"/>
  <c r="V89" i="5"/>
  <c r="U89" i="5"/>
  <c r="T89" i="5"/>
  <c r="R89" i="5"/>
  <c r="Q89" i="5"/>
  <c r="P89" i="5"/>
  <c r="O89" i="5"/>
  <c r="M89" i="5"/>
  <c r="L89" i="5"/>
  <c r="K89" i="5"/>
  <c r="J89" i="5"/>
  <c r="W88" i="5"/>
  <c r="V88" i="5"/>
  <c r="U88" i="5"/>
  <c r="T88" i="5"/>
  <c r="X88" i="5" s="1"/>
  <c r="R88" i="5"/>
  <c r="Q88" i="5"/>
  <c r="P88" i="5"/>
  <c r="O88" i="5"/>
  <c r="M88" i="5"/>
  <c r="L88" i="5"/>
  <c r="K88" i="5"/>
  <c r="J88" i="5"/>
  <c r="W87" i="5"/>
  <c r="V87" i="5"/>
  <c r="U87" i="5"/>
  <c r="T87" i="5"/>
  <c r="R87" i="5"/>
  <c r="Q87" i="5"/>
  <c r="P87" i="5"/>
  <c r="O87" i="5"/>
  <c r="S87" i="5" s="1"/>
  <c r="M87" i="5"/>
  <c r="L87" i="5"/>
  <c r="K87" i="5"/>
  <c r="J87" i="5"/>
  <c r="W86" i="5"/>
  <c r="V86" i="5"/>
  <c r="U86" i="5"/>
  <c r="T86" i="5"/>
  <c r="X86" i="5" s="1"/>
  <c r="R86" i="5"/>
  <c r="Q86" i="5"/>
  <c r="P86" i="5"/>
  <c r="O86" i="5"/>
  <c r="S86" i="5" s="1"/>
  <c r="N86" i="5"/>
  <c r="M86" i="5"/>
  <c r="L86" i="5"/>
  <c r="K86" i="5"/>
  <c r="J86" i="5"/>
  <c r="W85" i="5"/>
  <c r="V85" i="5"/>
  <c r="U85" i="5"/>
  <c r="T85" i="5"/>
  <c r="X85" i="5" s="1"/>
  <c r="R85" i="5"/>
  <c r="Q85" i="5"/>
  <c r="P85" i="5"/>
  <c r="O85" i="5"/>
  <c r="S85" i="5" s="1"/>
  <c r="M85" i="5"/>
  <c r="L85" i="5"/>
  <c r="K85" i="5"/>
  <c r="J85" i="5"/>
  <c r="W84" i="5"/>
  <c r="V84" i="5"/>
  <c r="U84" i="5"/>
  <c r="T84" i="5"/>
  <c r="X84" i="5" s="1"/>
  <c r="R84" i="5"/>
  <c r="Q84" i="5"/>
  <c r="P84" i="5"/>
  <c r="O84" i="5"/>
  <c r="S84" i="5" s="1"/>
  <c r="M84" i="5"/>
  <c r="L84" i="5"/>
  <c r="K84" i="5"/>
  <c r="J84" i="5"/>
  <c r="W83" i="5"/>
  <c r="V83" i="5"/>
  <c r="U83" i="5"/>
  <c r="T83" i="5"/>
  <c r="X83" i="5" s="1"/>
  <c r="R83" i="5"/>
  <c r="Q83" i="5"/>
  <c r="P83" i="5"/>
  <c r="O83" i="5"/>
  <c r="M83" i="5"/>
  <c r="L83" i="5"/>
  <c r="K83" i="5"/>
  <c r="J83" i="5"/>
  <c r="N83" i="5" s="1"/>
  <c r="W82" i="5"/>
  <c r="V82" i="5"/>
  <c r="U82" i="5"/>
  <c r="T82" i="5"/>
  <c r="R82" i="5"/>
  <c r="Q82" i="5"/>
  <c r="P82" i="5"/>
  <c r="O82" i="5"/>
  <c r="S82" i="5" s="1"/>
  <c r="M82" i="5"/>
  <c r="L82" i="5"/>
  <c r="K82" i="5"/>
  <c r="J82" i="5"/>
  <c r="N82" i="5" s="1"/>
  <c r="W81" i="5"/>
  <c r="V81" i="5"/>
  <c r="U81" i="5"/>
  <c r="T81" i="5"/>
  <c r="X81" i="5" s="1"/>
  <c r="R81" i="5"/>
  <c r="Q81" i="5"/>
  <c r="P81" i="5"/>
  <c r="O81" i="5"/>
  <c r="S81" i="5" s="1"/>
  <c r="M81" i="5"/>
  <c r="L81" i="5"/>
  <c r="K81" i="5"/>
  <c r="J81" i="5"/>
  <c r="N81" i="5" s="1"/>
  <c r="W80" i="5"/>
  <c r="V80" i="5"/>
  <c r="U80" i="5"/>
  <c r="T80" i="5"/>
  <c r="X80" i="5" s="1"/>
  <c r="R80" i="5"/>
  <c r="Q80" i="5"/>
  <c r="P80" i="5"/>
  <c r="S80" i="5" s="1"/>
  <c r="O80" i="5"/>
  <c r="M80" i="5"/>
  <c r="L80" i="5"/>
  <c r="K80" i="5"/>
  <c r="J80" i="5"/>
  <c r="W79" i="5"/>
  <c r="V79" i="5"/>
  <c r="U79" i="5"/>
  <c r="T79" i="5"/>
  <c r="X79" i="5" s="1"/>
  <c r="R79" i="5"/>
  <c r="Q79" i="5"/>
  <c r="P79" i="5"/>
  <c r="O79" i="5"/>
  <c r="M79" i="5"/>
  <c r="N79" i="5" s="1"/>
  <c r="L79" i="5"/>
  <c r="K79" i="5"/>
  <c r="J79" i="5"/>
  <c r="W78" i="5"/>
  <c r="V78" i="5"/>
  <c r="U78" i="5"/>
  <c r="T78" i="5"/>
  <c r="X78" i="5" s="1"/>
  <c r="R78" i="5"/>
  <c r="Q78" i="5"/>
  <c r="P78" i="5"/>
  <c r="O78" i="5"/>
  <c r="M78" i="5"/>
  <c r="L78" i="5"/>
  <c r="K78" i="5"/>
  <c r="J78" i="5"/>
  <c r="W77" i="5"/>
  <c r="V77" i="5"/>
  <c r="U77" i="5"/>
  <c r="T77" i="5"/>
  <c r="R77" i="5"/>
  <c r="Q77" i="5"/>
  <c r="P77" i="5"/>
  <c r="O77" i="5"/>
  <c r="M77" i="5"/>
  <c r="L77" i="5"/>
  <c r="K77" i="5"/>
  <c r="J77" i="5"/>
  <c r="W76" i="5"/>
  <c r="V76" i="5"/>
  <c r="U76" i="5"/>
  <c r="T76" i="5"/>
  <c r="X76" i="5" s="1"/>
  <c r="R76" i="5"/>
  <c r="Q76" i="5"/>
  <c r="P76" i="5"/>
  <c r="O76" i="5"/>
  <c r="M76" i="5"/>
  <c r="L76" i="5"/>
  <c r="K76" i="5"/>
  <c r="J76" i="5"/>
  <c r="W75" i="5"/>
  <c r="V75" i="5"/>
  <c r="U75" i="5"/>
  <c r="T75" i="5"/>
  <c r="R75" i="5"/>
  <c r="Q75" i="5"/>
  <c r="P75" i="5"/>
  <c r="O75" i="5"/>
  <c r="M75" i="5"/>
  <c r="L75" i="5"/>
  <c r="K75" i="5"/>
  <c r="J75" i="5"/>
  <c r="W74" i="5"/>
  <c r="V74" i="5"/>
  <c r="U74" i="5"/>
  <c r="T74" i="5"/>
  <c r="X74" i="5" s="1"/>
  <c r="R74" i="5"/>
  <c r="Q74" i="5"/>
  <c r="P74" i="5"/>
  <c r="O74" i="5"/>
  <c r="N74" i="5"/>
  <c r="M74" i="5"/>
  <c r="L74" i="5"/>
  <c r="K74" i="5"/>
  <c r="J74" i="5"/>
  <c r="W73" i="5"/>
  <c r="V73" i="5"/>
  <c r="U73" i="5"/>
  <c r="T73" i="5"/>
  <c r="S73" i="5"/>
  <c r="R73" i="5"/>
  <c r="Q73" i="5"/>
  <c r="P73" i="5"/>
  <c r="O73" i="5"/>
  <c r="M73" i="5"/>
  <c r="L73" i="5"/>
  <c r="K73" i="5"/>
  <c r="J73" i="5"/>
  <c r="W72" i="5"/>
  <c r="X72" i="5" s="1"/>
  <c r="V72" i="5"/>
  <c r="U72" i="5"/>
  <c r="T72" i="5"/>
  <c r="R72" i="5"/>
  <c r="Q72" i="5"/>
  <c r="P72" i="5"/>
  <c r="O72" i="5"/>
  <c r="M72" i="5"/>
  <c r="L72" i="5"/>
  <c r="K72" i="5"/>
  <c r="J72" i="5"/>
  <c r="W71" i="5"/>
  <c r="V71" i="5"/>
  <c r="U71" i="5"/>
  <c r="T71" i="5"/>
  <c r="R71" i="5"/>
  <c r="Q71" i="5"/>
  <c r="P71" i="5"/>
  <c r="O71" i="5"/>
  <c r="M71" i="5"/>
  <c r="L71" i="5"/>
  <c r="K71" i="5"/>
  <c r="J71" i="5"/>
  <c r="W70" i="5"/>
  <c r="V70" i="5"/>
  <c r="U70" i="5"/>
  <c r="T70" i="5"/>
  <c r="R70" i="5"/>
  <c r="Q70" i="5"/>
  <c r="P70" i="5"/>
  <c r="O70" i="5"/>
  <c r="N70" i="5"/>
  <c r="M70" i="5"/>
  <c r="L70" i="5"/>
  <c r="K70" i="5"/>
  <c r="J70" i="5"/>
  <c r="W69" i="5"/>
  <c r="V69" i="5"/>
  <c r="U69" i="5"/>
  <c r="T69" i="5"/>
  <c r="R69" i="5"/>
  <c r="Q69" i="5"/>
  <c r="P69" i="5"/>
  <c r="O69" i="5"/>
  <c r="S69" i="5" s="1"/>
  <c r="M69" i="5"/>
  <c r="L69" i="5"/>
  <c r="K69" i="5"/>
  <c r="J69" i="5"/>
  <c r="N69" i="5" s="1"/>
  <c r="W68" i="5"/>
  <c r="X68" i="5" s="1"/>
  <c r="V68" i="5"/>
  <c r="U68" i="5"/>
  <c r="T68" i="5"/>
  <c r="R68" i="5"/>
  <c r="Q68" i="5"/>
  <c r="P68" i="5"/>
  <c r="O68" i="5"/>
  <c r="S68" i="5" s="1"/>
  <c r="M68" i="5"/>
  <c r="L68" i="5"/>
  <c r="K68" i="5"/>
  <c r="J68" i="5"/>
  <c r="N68" i="5" s="1"/>
  <c r="X67" i="5"/>
  <c r="W67" i="5"/>
  <c r="V67" i="5"/>
  <c r="U67" i="5"/>
  <c r="T67" i="5"/>
  <c r="R67" i="5"/>
  <c r="Q67" i="5"/>
  <c r="P67" i="5"/>
  <c r="O67" i="5"/>
  <c r="S67" i="5" s="1"/>
  <c r="M67" i="5"/>
  <c r="L67" i="5"/>
  <c r="K67" i="5"/>
  <c r="J67" i="5"/>
  <c r="W66" i="5"/>
  <c r="V66" i="5"/>
  <c r="U66" i="5"/>
  <c r="T66" i="5"/>
  <c r="X66" i="5" s="1"/>
  <c r="R66" i="5"/>
  <c r="Q66" i="5"/>
  <c r="P66" i="5"/>
  <c r="O66" i="5"/>
  <c r="M66" i="5"/>
  <c r="L66" i="5"/>
  <c r="K66" i="5"/>
  <c r="J66" i="5"/>
  <c r="N66" i="5" s="1"/>
  <c r="W65" i="5"/>
  <c r="V65" i="5"/>
  <c r="U65" i="5"/>
  <c r="T65" i="5"/>
  <c r="R65" i="5"/>
  <c r="Q65" i="5"/>
  <c r="P65" i="5"/>
  <c r="O65" i="5"/>
  <c r="S65" i="5" s="1"/>
  <c r="M65" i="5"/>
  <c r="L65" i="5"/>
  <c r="K65" i="5"/>
  <c r="J65" i="5"/>
  <c r="W64" i="5"/>
  <c r="V64" i="5"/>
  <c r="U64" i="5"/>
  <c r="T64" i="5"/>
  <c r="X64" i="5" s="1"/>
  <c r="R64" i="5"/>
  <c r="Q64" i="5"/>
  <c r="P64" i="5"/>
  <c r="O64" i="5"/>
  <c r="M64" i="5"/>
  <c r="L64" i="5"/>
  <c r="K64" i="5"/>
  <c r="J64" i="5"/>
  <c r="N64" i="5" s="1"/>
  <c r="W63" i="5"/>
  <c r="V63" i="5"/>
  <c r="U63" i="5"/>
  <c r="T63" i="5"/>
  <c r="R63" i="5"/>
  <c r="Q63" i="5"/>
  <c r="P63" i="5"/>
  <c r="O63" i="5"/>
  <c r="S63" i="5" s="1"/>
  <c r="M63" i="5"/>
  <c r="L63" i="5"/>
  <c r="K63" i="5"/>
  <c r="J63" i="5"/>
  <c r="N63" i="5" s="1"/>
  <c r="W62" i="5"/>
  <c r="V62" i="5"/>
  <c r="U62" i="5"/>
  <c r="T62" i="5"/>
  <c r="X62" i="5" s="1"/>
  <c r="R62" i="5"/>
  <c r="Q62" i="5"/>
  <c r="P62" i="5"/>
  <c r="O62" i="5"/>
  <c r="S62" i="5" s="1"/>
  <c r="M62" i="5"/>
  <c r="L62" i="5"/>
  <c r="K62" i="5"/>
  <c r="J62" i="5"/>
  <c r="N62" i="5" s="1"/>
  <c r="W61" i="5"/>
  <c r="V61" i="5"/>
  <c r="U61" i="5"/>
  <c r="T61" i="5"/>
  <c r="X61" i="5" s="1"/>
  <c r="R61" i="5"/>
  <c r="Q61" i="5"/>
  <c r="P61" i="5"/>
  <c r="O61" i="5"/>
  <c r="S61" i="5" s="1"/>
  <c r="M61" i="5"/>
  <c r="L61" i="5"/>
  <c r="K61" i="5"/>
  <c r="J61" i="5"/>
  <c r="W60" i="5"/>
  <c r="V60" i="5"/>
  <c r="U60" i="5"/>
  <c r="T60" i="5"/>
  <c r="X60" i="5" s="1"/>
  <c r="R60" i="5"/>
  <c r="Q60" i="5"/>
  <c r="P60" i="5"/>
  <c r="O60" i="5"/>
  <c r="S60" i="5" s="1"/>
  <c r="M60" i="5"/>
  <c r="L60" i="5"/>
  <c r="K60" i="5"/>
  <c r="J60" i="5"/>
  <c r="W59" i="5"/>
  <c r="V59" i="5"/>
  <c r="U59" i="5"/>
  <c r="T59" i="5"/>
  <c r="R59" i="5"/>
  <c r="Q59" i="5"/>
  <c r="P59" i="5"/>
  <c r="O59" i="5"/>
  <c r="M59" i="5"/>
  <c r="L59" i="5"/>
  <c r="K59" i="5"/>
  <c r="J59" i="5"/>
  <c r="W58" i="5"/>
  <c r="V58" i="5"/>
  <c r="U58" i="5"/>
  <c r="T58" i="5"/>
  <c r="R58" i="5"/>
  <c r="Q58" i="5"/>
  <c r="P58" i="5"/>
  <c r="O58" i="5"/>
  <c r="S58" i="5" s="1"/>
  <c r="N58" i="5"/>
  <c r="M58" i="5"/>
  <c r="L58" i="5"/>
  <c r="K58" i="5"/>
  <c r="J58" i="5"/>
  <c r="W57" i="5"/>
  <c r="V57" i="5"/>
  <c r="U57" i="5"/>
  <c r="T57" i="5"/>
  <c r="X57" i="5" s="1"/>
  <c r="R57" i="5"/>
  <c r="Q57" i="5"/>
  <c r="P57" i="5"/>
  <c r="O57" i="5"/>
  <c r="N57" i="5"/>
  <c r="M57" i="5"/>
  <c r="L57" i="5"/>
  <c r="K57" i="5"/>
  <c r="J57" i="5"/>
  <c r="W56" i="5"/>
  <c r="V56" i="5"/>
  <c r="U56" i="5"/>
  <c r="T56" i="5"/>
  <c r="X56" i="5" s="1"/>
  <c r="S56" i="5"/>
  <c r="R56" i="5"/>
  <c r="Q56" i="5"/>
  <c r="P56" i="5"/>
  <c r="O56" i="5"/>
  <c r="M56" i="5"/>
  <c r="L56" i="5"/>
  <c r="K56" i="5"/>
  <c r="J56" i="5"/>
  <c r="W55" i="5"/>
  <c r="V55" i="5"/>
  <c r="U55" i="5"/>
  <c r="T55" i="5"/>
  <c r="X55" i="5" s="1"/>
  <c r="R55" i="5"/>
  <c r="Q55" i="5"/>
  <c r="P55" i="5"/>
  <c r="O55" i="5"/>
  <c r="M55" i="5"/>
  <c r="N55" i="5" s="1"/>
  <c r="L55" i="5"/>
  <c r="K55" i="5"/>
  <c r="J55" i="5"/>
  <c r="W54" i="5"/>
  <c r="V54" i="5"/>
  <c r="U54" i="5"/>
  <c r="T54" i="5"/>
  <c r="X54" i="5" s="1"/>
  <c r="R54" i="5"/>
  <c r="S54" i="5" s="1"/>
  <c r="Q54" i="5"/>
  <c r="P54" i="5"/>
  <c r="O54" i="5"/>
  <c r="M54" i="5"/>
  <c r="L54" i="5"/>
  <c r="K54" i="5"/>
  <c r="J54" i="5"/>
  <c r="W53" i="5"/>
  <c r="V53" i="5"/>
  <c r="U53" i="5"/>
  <c r="T53" i="5"/>
  <c r="R53" i="5"/>
  <c r="Q53" i="5"/>
  <c r="P53" i="5"/>
  <c r="O53" i="5"/>
  <c r="M53" i="5"/>
  <c r="L53" i="5"/>
  <c r="K53" i="5"/>
  <c r="J53" i="5"/>
  <c r="W52" i="5"/>
  <c r="V52" i="5"/>
  <c r="U52" i="5"/>
  <c r="T52" i="5"/>
  <c r="X52" i="5" s="1"/>
  <c r="R52" i="5"/>
  <c r="Q52" i="5"/>
  <c r="P52" i="5"/>
  <c r="O52" i="5"/>
  <c r="M52" i="5"/>
  <c r="L52" i="5"/>
  <c r="K52" i="5"/>
  <c r="J52" i="5"/>
  <c r="W51" i="5"/>
  <c r="V51" i="5"/>
  <c r="U51" i="5"/>
  <c r="T51" i="5"/>
  <c r="R51" i="5"/>
  <c r="Q51" i="5"/>
  <c r="P51" i="5"/>
  <c r="O51" i="5"/>
  <c r="M51" i="5"/>
  <c r="L51" i="5"/>
  <c r="K51" i="5"/>
  <c r="J51" i="5"/>
  <c r="W50" i="5"/>
  <c r="V50" i="5"/>
  <c r="U50" i="5"/>
  <c r="T50" i="5"/>
  <c r="X50" i="5" s="1"/>
  <c r="R50" i="5"/>
  <c r="Q50" i="5"/>
  <c r="P50" i="5"/>
  <c r="O50" i="5"/>
  <c r="M50" i="5"/>
  <c r="L50" i="5"/>
  <c r="K50" i="5"/>
  <c r="J50" i="5"/>
  <c r="N50" i="5" s="1"/>
  <c r="W49" i="5"/>
  <c r="V49" i="5"/>
  <c r="U49" i="5"/>
  <c r="T49" i="5"/>
  <c r="X49" i="5" s="1"/>
  <c r="S49" i="5"/>
  <c r="R49" i="5"/>
  <c r="Q49" i="5"/>
  <c r="P49" i="5"/>
  <c r="O49" i="5"/>
  <c r="M49" i="5"/>
  <c r="L49" i="5"/>
  <c r="K49" i="5"/>
  <c r="J49" i="5"/>
  <c r="N49" i="5" s="1"/>
  <c r="W48" i="5"/>
  <c r="V48" i="5"/>
  <c r="X48" i="5" s="1"/>
  <c r="U48" i="5"/>
  <c r="T48" i="5"/>
  <c r="R48" i="5"/>
  <c r="Q48" i="5"/>
  <c r="P48" i="5"/>
  <c r="O48" i="5"/>
  <c r="S48" i="5" s="1"/>
  <c r="M48" i="5"/>
  <c r="L48" i="5"/>
  <c r="K48" i="5"/>
  <c r="J48" i="5"/>
  <c r="W47" i="5"/>
  <c r="V47" i="5"/>
  <c r="U47" i="5"/>
  <c r="T47" i="5"/>
  <c r="R47" i="5"/>
  <c r="Q47" i="5"/>
  <c r="P47" i="5"/>
  <c r="O47" i="5"/>
  <c r="M47" i="5"/>
  <c r="L47" i="5"/>
  <c r="K47" i="5"/>
  <c r="J47" i="5"/>
  <c r="N47" i="5" s="1"/>
  <c r="W46" i="5"/>
  <c r="V46" i="5"/>
  <c r="X46" i="5" s="1"/>
  <c r="U46" i="5"/>
  <c r="T46" i="5"/>
  <c r="R46" i="5"/>
  <c r="Q46" i="5"/>
  <c r="P46" i="5"/>
  <c r="O46" i="5"/>
  <c r="M46" i="5"/>
  <c r="L46" i="5"/>
  <c r="K46" i="5"/>
  <c r="J46" i="5"/>
  <c r="N46" i="5" s="1"/>
  <c r="W45" i="5"/>
  <c r="V45" i="5"/>
  <c r="U45" i="5"/>
  <c r="T45" i="5"/>
  <c r="R45" i="5"/>
  <c r="Q45" i="5"/>
  <c r="P45" i="5"/>
  <c r="O45" i="5"/>
  <c r="M45" i="5"/>
  <c r="L45" i="5"/>
  <c r="K45" i="5"/>
  <c r="J45" i="5"/>
  <c r="N45" i="5" s="1"/>
  <c r="W44" i="5"/>
  <c r="V44" i="5"/>
  <c r="U44" i="5"/>
  <c r="T44" i="5"/>
  <c r="R44" i="5"/>
  <c r="Q44" i="5"/>
  <c r="P44" i="5"/>
  <c r="O44" i="5"/>
  <c r="S44" i="5" s="1"/>
  <c r="M44" i="5"/>
  <c r="L44" i="5"/>
  <c r="K44" i="5"/>
  <c r="J44" i="5"/>
  <c r="W43" i="5"/>
  <c r="X43" i="5" s="1"/>
  <c r="V43" i="5"/>
  <c r="U43" i="5"/>
  <c r="T43" i="5"/>
  <c r="R43" i="5"/>
  <c r="Q43" i="5"/>
  <c r="P43" i="5"/>
  <c r="O43" i="5"/>
  <c r="S43" i="5" s="1"/>
  <c r="M43" i="5"/>
  <c r="L43" i="5"/>
  <c r="K43" i="5"/>
  <c r="J43" i="5"/>
  <c r="W42" i="5"/>
  <c r="V42" i="5"/>
  <c r="U42" i="5"/>
  <c r="T42" i="5"/>
  <c r="R42" i="5"/>
  <c r="Q42" i="5"/>
  <c r="P42" i="5"/>
  <c r="O42" i="5"/>
  <c r="M42" i="5"/>
  <c r="L42" i="5"/>
  <c r="K42" i="5"/>
  <c r="J42" i="5"/>
  <c r="W41" i="5"/>
  <c r="X41" i="5" s="1"/>
  <c r="V41" i="5"/>
  <c r="U41" i="5"/>
  <c r="T41" i="5"/>
  <c r="R41" i="5"/>
  <c r="Q41" i="5"/>
  <c r="P41" i="5"/>
  <c r="O41" i="5"/>
  <c r="S41" i="5" s="1"/>
  <c r="M41" i="5"/>
  <c r="L41" i="5"/>
  <c r="K41" i="5"/>
  <c r="J41" i="5"/>
  <c r="W40" i="5"/>
  <c r="V40" i="5"/>
  <c r="U40" i="5"/>
  <c r="T40" i="5"/>
  <c r="R40" i="5"/>
  <c r="Q40" i="5"/>
  <c r="P40" i="5"/>
  <c r="O40" i="5"/>
  <c r="M40" i="5"/>
  <c r="L40" i="5"/>
  <c r="K40" i="5"/>
  <c r="J40" i="5"/>
  <c r="W39" i="5"/>
  <c r="V39" i="5"/>
  <c r="U39" i="5"/>
  <c r="T39" i="5"/>
  <c r="R39" i="5"/>
  <c r="Q39" i="5"/>
  <c r="P39" i="5"/>
  <c r="O39" i="5"/>
  <c r="S39" i="5" s="1"/>
  <c r="M39" i="5"/>
  <c r="L39" i="5"/>
  <c r="K39" i="5"/>
  <c r="J39" i="5"/>
  <c r="W38" i="5"/>
  <c r="V38" i="5"/>
  <c r="U38" i="5"/>
  <c r="T38" i="5"/>
  <c r="R38" i="5"/>
  <c r="Q38" i="5"/>
  <c r="P38" i="5"/>
  <c r="O38" i="5"/>
  <c r="S38" i="5" s="1"/>
  <c r="M38" i="5"/>
  <c r="L38" i="5"/>
  <c r="N38" i="5" s="1"/>
  <c r="K38" i="5"/>
  <c r="J38" i="5"/>
  <c r="W37" i="5"/>
  <c r="V37" i="5"/>
  <c r="U37" i="5"/>
  <c r="T37" i="5"/>
  <c r="R37" i="5"/>
  <c r="Q37" i="5"/>
  <c r="P37" i="5"/>
  <c r="O37" i="5"/>
  <c r="S37" i="5" s="1"/>
  <c r="M37" i="5"/>
  <c r="L37" i="5"/>
  <c r="K37" i="5"/>
  <c r="J37" i="5"/>
  <c r="X36" i="5"/>
  <c r="W36" i="5"/>
  <c r="V36" i="5"/>
  <c r="U36" i="5"/>
  <c r="T36" i="5"/>
  <c r="R36" i="5"/>
  <c r="Q36" i="5"/>
  <c r="P36" i="5"/>
  <c r="O36" i="5"/>
  <c r="S36" i="5" s="1"/>
  <c r="M36" i="5"/>
  <c r="L36" i="5"/>
  <c r="N36" i="5" s="1"/>
  <c r="K36" i="5"/>
  <c r="J36" i="5"/>
  <c r="W35" i="5"/>
  <c r="V35" i="5"/>
  <c r="U35" i="5"/>
  <c r="T35" i="5"/>
  <c r="R35" i="5"/>
  <c r="Q35" i="5"/>
  <c r="P35" i="5"/>
  <c r="O35" i="5"/>
  <c r="M35" i="5"/>
  <c r="L35" i="5"/>
  <c r="K35" i="5"/>
  <c r="J35" i="5"/>
  <c r="W34" i="5"/>
  <c r="V34" i="5"/>
  <c r="X34" i="5" s="1"/>
  <c r="U34" i="5"/>
  <c r="T34" i="5"/>
  <c r="R34" i="5"/>
  <c r="Q34" i="5"/>
  <c r="P34" i="5"/>
  <c r="O34" i="5"/>
  <c r="S34" i="5" s="1"/>
  <c r="M34" i="5"/>
  <c r="L34" i="5"/>
  <c r="K34" i="5"/>
  <c r="J34" i="5"/>
  <c r="W33" i="5"/>
  <c r="V33" i="5"/>
  <c r="U33" i="5"/>
  <c r="T33" i="5"/>
  <c r="R33" i="5"/>
  <c r="Q33" i="5"/>
  <c r="P33" i="5"/>
  <c r="O33" i="5"/>
  <c r="S33" i="5" s="1"/>
  <c r="M33" i="5"/>
  <c r="L33" i="5"/>
  <c r="K33" i="5"/>
  <c r="N33" i="5" s="1"/>
  <c r="J33" i="5"/>
  <c r="W32" i="5"/>
  <c r="V32" i="5"/>
  <c r="U32" i="5"/>
  <c r="T32" i="5"/>
  <c r="R32" i="5"/>
  <c r="Q32" i="5"/>
  <c r="P32" i="5"/>
  <c r="O32" i="5"/>
  <c r="S32" i="5" s="1"/>
  <c r="M32" i="5"/>
  <c r="L32" i="5"/>
  <c r="K32" i="5"/>
  <c r="J32" i="5"/>
  <c r="W31" i="5"/>
  <c r="X31" i="5" s="1"/>
  <c r="V31" i="5"/>
  <c r="U31" i="5"/>
  <c r="T31" i="5"/>
  <c r="R31" i="5"/>
  <c r="Q31" i="5"/>
  <c r="P31" i="5"/>
  <c r="O31" i="5"/>
  <c r="M31" i="5"/>
  <c r="N31" i="5" s="1"/>
  <c r="L31" i="5"/>
  <c r="K31" i="5"/>
  <c r="J31" i="5"/>
  <c r="W30" i="5"/>
  <c r="V30" i="5"/>
  <c r="U30" i="5"/>
  <c r="T30" i="5"/>
  <c r="R30" i="5"/>
  <c r="Q30" i="5"/>
  <c r="P30" i="5"/>
  <c r="O30" i="5"/>
  <c r="M30" i="5"/>
  <c r="L30" i="5"/>
  <c r="K30" i="5"/>
  <c r="J30" i="5"/>
  <c r="W29" i="5"/>
  <c r="X29" i="5" s="1"/>
  <c r="V29" i="5"/>
  <c r="U29" i="5"/>
  <c r="T29" i="5"/>
  <c r="R29" i="5"/>
  <c r="Q29" i="5"/>
  <c r="P29" i="5"/>
  <c r="O29" i="5"/>
  <c r="M29" i="5"/>
  <c r="L29" i="5"/>
  <c r="K29" i="5"/>
  <c r="J29" i="5"/>
  <c r="W28" i="5"/>
  <c r="V28" i="5"/>
  <c r="U28" i="5"/>
  <c r="T28" i="5"/>
  <c r="R28" i="5"/>
  <c r="Q28" i="5"/>
  <c r="P28" i="5"/>
  <c r="S28" i="5" s="1"/>
  <c r="O28" i="5"/>
  <c r="M28" i="5"/>
  <c r="L28" i="5"/>
  <c r="K28" i="5"/>
  <c r="J28" i="5"/>
  <c r="W27" i="5"/>
  <c r="V27" i="5"/>
  <c r="U27" i="5"/>
  <c r="T27" i="5"/>
  <c r="R27" i="5"/>
  <c r="Q27" i="5"/>
  <c r="P27" i="5"/>
  <c r="O27" i="5"/>
  <c r="M27" i="5"/>
  <c r="L27" i="5"/>
  <c r="K27" i="5"/>
  <c r="J27" i="5"/>
  <c r="W26" i="5"/>
  <c r="V26" i="5"/>
  <c r="U26" i="5"/>
  <c r="T26" i="5"/>
  <c r="R26" i="5"/>
  <c r="Q26" i="5"/>
  <c r="P26" i="5"/>
  <c r="O26" i="5"/>
  <c r="M26" i="5"/>
  <c r="L26" i="5"/>
  <c r="K26" i="5"/>
  <c r="J26" i="5"/>
  <c r="N26" i="5" s="1"/>
  <c r="W25" i="5"/>
  <c r="V25" i="5"/>
  <c r="U25" i="5"/>
  <c r="T25" i="5"/>
  <c r="R25" i="5"/>
  <c r="Q25" i="5"/>
  <c r="S25" i="5" s="1"/>
  <c r="P25" i="5"/>
  <c r="O25" i="5"/>
  <c r="M25" i="5"/>
  <c r="L25" i="5"/>
  <c r="K25" i="5"/>
  <c r="J25" i="5"/>
  <c r="N25" i="5" s="1"/>
  <c r="X24" i="5"/>
  <c r="W24" i="5"/>
  <c r="V24" i="5"/>
  <c r="U24" i="5"/>
  <c r="T24" i="5"/>
  <c r="R24" i="5"/>
  <c r="Q24" i="5"/>
  <c r="P24" i="5"/>
  <c r="O24" i="5"/>
  <c r="M24" i="5"/>
  <c r="L24" i="5"/>
  <c r="K24" i="5"/>
  <c r="J24" i="5"/>
  <c r="W23" i="5"/>
  <c r="V23" i="5"/>
  <c r="U23" i="5"/>
  <c r="T23" i="5"/>
  <c r="R23" i="5"/>
  <c r="Q23" i="5"/>
  <c r="P23" i="5"/>
  <c r="O23" i="5"/>
  <c r="M23" i="5"/>
  <c r="L23" i="5"/>
  <c r="K23" i="5"/>
  <c r="J23" i="5"/>
  <c r="N23" i="5" s="1"/>
  <c r="W22" i="5"/>
  <c r="X22" i="5" s="1"/>
  <c r="V22" i="5"/>
  <c r="U22" i="5"/>
  <c r="T22" i="5"/>
  <c r="R22" i="5"/>
  <c r="Q22" i="5"/>
  <c r="P22" i="5"/>
  <c r="O22" i="5"/>
  <c r="M22" i="5"/>
  <c r="L22" i="5"/>
  <c r="K22" i="5"/>
  <c r="J22" i="5"/>
  <c r="N22" i="5" s="1"/>
  <c r="W21" i="5"/>
  <c r="V21" i="5"/>
  <c r="U21" i="5"/>
  <c r="T21" i="5"/>
  <c r="R21" i="5"/>
  <c r="Q21" i="5"/>
  <c r="P21" i="5"/>
  <c r="O21" i="5"/>
  <c r="M21" i="5"/>
  <c r="L21" i="5"/>
  <c r="K21" i="5"/>
  <c r="J21" i="5"/>
  <c r="N21" i="5" s="1"/>
  <c r="X20" i="5"/>
  <c r="W20" i="5"/>
  <c r="V20" i="5"/>
  <c r="U20" i="5"/>
  <c r="T20" i="5"/>
  <c r="R20" i="5"/>
  <c r="S20" i="5" s="1"/>
  <c r="Q20" i="5"/>
  <c r="P20" i="5"/>
  <c r="O20" i="5"/>
  <c r="M20" i="5"/>
  <c r="L20" i="5"/>
  <c r="K20" i="5"/>
  <c r="J20" i="5"/>
  <c r="W19" i="5"/>
  <c r="V19" i="5"/>
  <c r="U19" i="5"/>
  <c r="T19" i="5"/>
  <c r="X19" i="5" s="1"/>
  <c r="R19" i="5"/>
  <c r="Q19" i="5"/>
  <c r="P19" i="5"/>
  <c r="O19" i="5"/>
  <c r="M19" i="5"/>
  <c r="N19" i="5" s="1"/>
  <c r="L19" i="5"/>
  <c r="K19" i="5"/>
  <c r="J19" i="5"/>
  <c r="W18" i="5"/>
  <c r="V18" i="5"/>
  <c r="U18" i="5"/>
  <c r="T18" i="5"/>
  <c r="X18" i="5" s="1"/>
  <c r="R18" i="5"/>
  <c r="Q18" i="5"/>
  <c r="P18" i="5"/>
  <c r="O18" i="5"/>
  <c r="M18" i="5"/>
  <c r="L18" i="5"/>
  <c r="K18" i="5"/>
  <c r="J18" i="5"/>
  <c r="W17" i="5"/>
  <c r="V17" i="5"/>
  <c r="U17" i="5"/>
  <c r="T17" i="5"/>
  <c r="R17" i="5"/>
  <c r="Q17" i="5"/>
  <c r="P17" i="5"/>
  <c r="O17" i="5"/>
  <c r="S17" i="5" s="1"/>
  <c r="N17" i="5"/>
  <c r="M17" i="5"/>
  <c r="L17" i="5"/>
  <c r="K17" i="5"/>
  <c r="J17" i="5"/>
  <c r="W16" i="5"/>
  <c r="V16" i="5"/>
  <c r="U16" i="5"/>
  <c r="T16" i="5"/>
  <c r="X16" i="5" s="1"/>
  <c r="R16" i="5"/>
  <c r="Q16" i="5"/>
  <c r="P16" i="5"/>
  <c r="O16" i="5"/>
  <c r="M16" i="5"/>
  <c r="L16" i="5"/>
  <c r="K16" i="5"/>
  <c r="J16" i="5"/>
  <c r="W15" i="5"/>
  <c r="V15" i="5"/>
  <c r="U15" i="5"/>
  <c r="T15" i="5"/>
  <c r="X15" i="5" s="1"/>
  <c r="R15" i="5"/>
  <c r="Q15" i="5"/>
  <c r="P15" i="5"/>
  <c r="O15" i="5"/>
  <c r="S15" i="5" s="1"/>
  <c r="M15" i="5"/>
  <c r="L15" i="5"/>
  <c r="K15" i="5"/>
  <c r="J15" i="5"/>
  <c r="W14" i="5"/>
  <c r="V14" i="5"/>
  <c r="U14" i="5"/>
  <c r="T14" i="5"/>
  <c r="X14" i="5" s="1"/>
  <c r="R14" i="5"/>
  <c r="Q14" i="5"/>
  <c r="P14" i="5"/>
  <c r="O14" i="5"/>
  <c r="S14" i="5" s="1"/>
  <c r="M14" i="5"/>
  <c r="L14" i="5"/>
  <c r="K14" i="5"/>
  <c r="N14" i="5" s="1"/>
  <c r="J14" i="5"/>
  <c r="W13" i="5"/>
  <c r="V13" i="5"/>
  <c r="U13" i="5"/>
  <c r="T13" i="5"/>
  <c r="X13" i="5" s="1"/>
  <c r="R13" i="5"/>
  <c r="Q13" i="5"/>
  <c r="P13" i="5"/>
  <c r="O13" i="5"/>
  <c r="S13" i="5" s="1"/>
  <c r="M13" i="5"/>
  <c r="L13" i="5"/>
  <c r="K13" i="5"/>
  <c r="J13" i="5"/>
  <c r="W12" i="5"/>
  <c r="V12" i="5"/>
  <c r="U12" i="5"/>
  <c r="T12" i="5"/>
  <c r="X12" i="5" s="1"/>
  <c r="R12" i="5"/>
  <c r="Q12" i="5"/>
  <c r="P12" i="5"/>
  <c r="O12" i="5"/>
  <c r="S12" i="5" s="1"/>
  <c r="M12" i="5"/>
  <c r="L12" i="5"/>
  <c r="K12" i="5"/>
  <c r="J12" i="5"/>
  <c r="W11" i="5"/>
  <c r="V11" i="5"/>
  <c r="U11" i="5"/>
  <c r="T11" i="5"/>
  <c r="X11" i="5" s="1"/>
  <c r="R11" i="5"/>
  <c r="Q11" i="5"/>
  <c r="P11" i="5"/>
  <c r="O11" i="5"/>
  <c r="S11" i="5" s="1"/>
  <c r="M11" i="5"/>
  <c r="L11" i="5"/>
  <c r="K11" i="5"/>
  <c r="J11" i="5"/>
  <c r="N11" i="5" s="1"/>
  <c r="W10" i="5"/>
  <c r="V10" i="5"/>
  <c r="U10" i="5"/>
  <c r="T10" i="5"/>
  <c r="X10" i="5" s="1"/>
  <c r="R10" i="5"/>
  <c r="Q10" i="5"/>
  <c r="P10" i="5"/>
  <c r="O10" i="5"/>
  <c r="S10" i="5" s="1"/>
  <c r="M10" i="5"/>
  <c r="L10" i="5"/>
  <c r="K10" i="5"/>
  <c r="J10" i="5"/>
  <c r="N10" i="5" s="1"/>
  <c r="W9" i="5"/>
  <c r="V9" i="5"/>
  <c r="U9" i="5"/>
  <c r="T9" i="5"/>
  <c r="X9" i="5" s="1"/>
  <c r="R9" i="5"/>
  <c r="Q9" i="5"/>
  <c r="P9" i="5"/>
  <c r="O9" i="5"/>
  <c r="S9" i="5" s="1"/>
  <c r="M9" i="5"/>
  <c r="L9" i="5"/>
  <c r="K9" i="5"/>
  <c r="J9" i="5"/>
  <c r="N9" i="5" s="1"/>
  <c r="W8" i="5"/>
  <c r="V8" i="5"/>
  <c r="U8" i="5"/>
  <c r="T8" i="5"/>
  <c r="X8" i="5" s="1"/>
  <c r="R8" i="5"/>
  <c r="Q8" i="5"/>
  <c r="P8" i="5"/>
  <c r="S8" i="5" s="1"/>
  <c r="O8" i="5"/>
  <c r="M8" i="5"/>
  <c r="L8" i="5"/>
  <c r="K8" i="5"/>
  <c r="J8" i="5"/>
  <c r="N8" i="5" s="1"/>
  <c r="W7" i="5"/>
  <c r="V7" i="5"/>
  <c r="U7" i="5"/>
  <c r="X7" i="5" s="1"/>
  <c r="T7" i="5"/>
  <c r="R7" i="5"/>
  <c r="Q7" i="5"/>
  <c r="P7" i="5"/>
  <c r="O7" i="5"/>
  <c r="M7" i="5"/>
  <c r="L7" i="5"/>
  <c r="K7" i="5"/>
  <c r="J7" i="5"/>
  <c r="W6" i="5"/>
  <c r="V6" i="5"/>
  <c r="U6" i="5"/>
  <c r="T6" i="5"/>
  <c r="R6" i="5"/>
  <c r="Q6" i="5"/>
  <c r="P6" i="5"/>
  <c r="O6" i="5"/>
  <c r="M6" i="5"/>
  <c r="L6" i="5"/>
  <c r="K6" i="5"/>
  <c r="J6" i="5"/>
  <c r="W5" i="5"/>
  <c r="V5" i="5"/>
  <c r="X5" i="5" s="1"/>
  <c r="U5" i="5"/>
  <c r="T5" i="5"/>
  <c r="R5" i="5"/>
  <c r="Q5" i="5"/>
  <c r="P5" i="5"/>
  <c r="O5" i="5"/>
  <c r="M5" i="5"/>
  <c r="L5" i="5"/>
  <c r="K5" i="5"/>
  <c r="J5" i="5"/>
  <c r="H4" i="5"/>
  <c r="AS2" i="5"/>
  <c r="AR2" i="5"/>
  <c r="AL2" i="5"/>
  <c r="AK2" i="5"/>
  <c r="AJ2" i="5"/>
  <c r="AI2" i="5"/>
  <c r="AE2" i="5"/>
  <c r="AD2" i="5"/>
  <c r="AC2" i="5"/>
  <c r="AB2" i="5"/>
  <c r="AS2" i="1"/>
  <c r="AC2" i="1"/>
  <c r="AD2" i="1"/>
  <c r="AE2" i="1"/>
  <c r="AB2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V31" i="1"/>
  <c r="W31" i="1"/>
  <c r="T32" i="1"/>
  <c r="U32" i="1"/>
  <c r="V32" i="1"/>
  <c r="W32" i="1"/>
  <c r="T33" i="1"/>
  <c r="U33" i="1"/>
  <c r="V33" i="1"/>
  <c r="W33" i="1"/>
  <c r="T34" i="1"/>
  <c r="U34" i="1"/>
  <c r="V34" i="1"/>
  <c r="W34" i="1"/>
  <c r="T35" i="1"/>
  <c r="U35" i="1"/>
  <c r="V35" i="1"/>
  <c r="W35" i="1"/>
  <c r="T36" i="1"/>
  <c r="U36" i="1"/>
  <c r="V36" i="1"/>
  <c r="W36" i="1"/>
  <c r="T37" i="1"/>
  <c r="U37" i="1"/>
  <c r="V37" i="1"/>
  <c r="W37" i="1"/>
  <c r="T38" i="1"/>
  <c r="U38" i="1"/>
  <c r="V38" i="1"/>
  <c r="W38" i="1"/>
  <c r="T39" i="1"/>
  <c r="U39" i="1"/>
  <c r="V39" i="1"/>
  <c r="W39" i="1"/>
  <c r="T40" i="1"/>
  <c r="U40" i="1"/>
  <c r="V40" i="1"/>
  <c r="W40" i="1"/>
  <c r="T41" i="1"/>
  <c r="U41" i="1"/>
  <c r="V41" i="1"/>
  <c r="W41" i="1"/>
  <c r="T42" i="1"/>
  <c r="U42" i="1"/>
  <c r="V42" i="1"/>
  <c r="W42" i="1"/>
  <c r="T43" i="1"/>
  <c r="U43" i="1"/>
  <c r="V43" i="1"/>
  <c r="W43" i="1"/>
  <c r="T44" i="1"/>
  <c r="U44" i="1"/>
  <c r="V44" i="1"/>
  <c r="W44" i="1"/>
  <c r="T45" i="1"/>
  <c r="U45" i="1"/>
  <c r="V45" i="1"/>
  <c r="W45" i="1"/>
  <c r="T46" i="1"/>
  <c r="U46" i="1"/>
  <c r="V46" i="1"/>
  <c r="W46" i="1"/>
  <c r="T47" i="1"/>
  <c r="U47" i="1"/>
  <c r="V47" i="1"/>
  <c r="W47" i="1"/>
  <c r="T48" i="1"/>
  <c r="U48" i="1"/>
  <c r="V48" i="1"/>
  <c r="W48" i="1"/>
  <c r="T49" i="1"/>
  <c r="U49" i="1"/>
  <c r="V49" i="1"/>
  <c r="W49" i="1"/>
  <c r="T50" i="1"/>
  <c r="U50" i="1"/>
  <c r="V50" i="1"/>
  <c r="W50" i="1"/>
  <c r="T51" i="1"/>
  <c r="U51" i="1"/>
  <c r="V51" i="1"/>
  <c r="W51" i="1"/>
  <c r="T52" i="1"/>
  <c r="U52" i="1"/>
  <c r="V52" i="1"/>
  <c r="W52" i="1"/>
  <c r="T53" i="1"/>
  <c r="U53" i="1"/>
  <c r="V53" i="1"/>
  <c r="W53" i="1"/>
  <c r="T54" i="1"/>
  <c r="U54" i="1"/>
  <c r="V54" i="1"/>
  <c r="W54" i="1"/>
  <c r="T55" i="1"/>
  <c r="U55" i="1"/>
  <c r="V55" i="1"/>
  <c r="W55" i="1"/>
  <c r="T56" i="1"/>
  <c r="U56" i="1"/>
  <c r="V56" i="1"/>
  <c r="W56" i="1"/>
  <c r="T57" i="1"/>
  <c r="U57" i="1"/>
  <c r="V57" i="1"/>
  <c r="W57" i="1"/>
  <c r="T58" i="1"/>
  <c r="U58" i="1"/>
  <c r="V58" i="1"/>
  <c r="W58" i="1"/>
  <c r="T59" i="1"/>
  <c r="U59" i="1"/>
  <c r="V59" i="1"/>
  <c r="W59" i="1"/>
  <c r="T60" i="1"/>
  <c r="U60" i="1"/>
  <c r="V60" i="1"/>
  <c r="W60" i="1"/>
  <c r="T61" i="1"/>
  <c r="U61" i="1"/>
  <c r="V61" i="1"/>
  <c r="W61" i="1"/>
  <c r="T62" i="1"/>
  <c r="U62" i="1"/>
  <c r="V62" i="1"/>
  <c r="W62" i="1"/>
  <c r="T63" i="1"/>
  <c r="U63" i="1"/>
  <c r="V63" i="1"/>
  <c r="W63" i="1"/>
  <c r="T64" i="1"/>
  <c r="U64" i="1"/>
  <c r="V64" i="1"/>
  <c r="W64" i="1"/>
  <c r="T65" i="1"/>
  <c r="U65" i="1"/>
  <c r="V65" i="1"/>
  <c r="W65" i="1"/>
  <c r="T66" i="1"/>
  <c r="U66" i="1"/>
  <c r="V66" i="1"/>
  <c r="W66" i="1"/>
  <c r="T67" i="1"/>
  <c r="U67" i="1"/>
  <c r="V67" i="1"/>
  <c r="W67" i="1"/>
  <c r="T68" i="1"/>
  <c r="U68" i="1"/>
  <c r="V68" i="1"/>
  <c r="W68" i="1"/>
  <c r="T69" i="1"/>
  <c r="U69" i="1"/>
  <c r="V69" i="1"/>
  <c r="W69" i="1"/>
  <c r="T70" i="1"/>
  <c r="U70" i="1"/>
  <c r="V70" i="1"/>
  <c r="W70" i="1"/>
  <c r="T71" i="1"/>
  <c r="U71" i="1"/>
  <c r="V71" i="1"/>
  <c r="W71" i="1"/>
  <c r="T72" i="1"/>
  <c r="U72" i="1"/>
  <c r="V72" i="1"/>
  <c r="W72" i="1"/>
  <c r="T73" i="1"/>
  <c r="U73" i="1"/>
  <c r="V73" i="1"/>
  <c r="W73" i="1"/>
  <c r="T74" i="1"/>
  <c r="U74" i="1"/>
  <c r="V74" i="1"/>
  <c r="W74" i="1"/>
  <c r="T75" i="1"/>
  <c r="U75" i="1"/>
  <c r="V75" i="1"/>
  <c r="W75" i="1"/>
  <c r="T76" i="1"/>
  <c r="U76" i="1"/>
  <c r="V76" i="1"/>
  <c r="W76" i="1"/>
  <c r="T77" i="1"/>
  <c r="U77" i="1"/>
  <c r="V77" i="1"/>
  <c r="W77" i="1"/>
  <c r="T78" i="1"/>
  <c r="U78" i="1"/>
  <c r="V78" i="1"/>
  <c r="W78" i="1"/>
  <c r="T79" i="1"/>
  <c r="U79" i="1"/>
  <c r="V79" i="1"/>
  <c r="W79" i="1"/>
  <c r="T80" i="1"/>
  <c r="U80" i="1"/>
  <c r="V80" i="1"/>
  <c r="W80" i="1"/>
  <c r="T81" i="1"/>
  <c r="U81" i="1"/>
  <c r="V81" i="1"/>
  <c r="W81" i="1"/>
  <c r="T82" i="1"/>
  <c r="U82" i="1"/>
  <c r="V82" i="1"/>
  <c r="W82" i="1"/>
  <c r="T83" i="1"/>
  <c r="U83" i="1"/>
  <c r="V83" i="1"/>
  <c r="W83" i="1"/>
  <c r="T84" i="1"/>
  <c r="U84" i="1"/>
  <c r="V84" i="1"/>
  <c r="W84" i="1"/>
  <c r="T85" i="1"/>
  <c r="U85" i="1"/>
  <c r="V85" i="1"/>
  <c r="W85" i="1"/>
  <c r="T86" i="1"/>
  <c r="U86" i="1"/>
  <c r="V86" i="1"/>
  <c r="W86" i="1"/>
  <c r="T87" i="1"/>
  <c r="U87" i="1"/>
  <c r="V87" i="1"/>
  <c r="W87" i="1"/>
  <c r="T88" i="1"/>
  <c r="U88" i="1"/>
  <c r="V88" i="1"/>
  <c r="W88" i="1"/>
  <c r="T89" i="1"/>
  <c r="U89" i="1"/>
  <c r="V89" i="1"/>
  <c r="W89" i="1"/>
  <c r="T90" i="1"/>
  <c r="U90" i="1"/>
  <c r="V90" i="1"/>
  <c r="W90" i="1"/>
  <c r="T91" i="1"/>
  <c r="U91" i="1"/>
  <c r="V91" i="1"/>
  <c r="W91" i="1"/>
  <c r="T92" i="1"/>
  <c r="U92" i="1"/>
  <c r="V92" i="1"/>
  <c r="W92" i="1"/>
  <c r="T93" i="1"/>
  <c r="U93" i="1"/>
  <c r="V93" i="1"/>
  <c r="W93" i="1"/>
  <c r="T94" i="1"/>
  <c r="U94" i="1"/>
  <c r="V94" i="1"/>
  <c r="W94" i="1"/>
  <c r="T95" i="1"/>
  <c r="U95" i="1"/>
  <c r="V95" i="1"/>
  <c r="W95" i="1"/>
  <c r="T96" i="1"/>
  <c r="U96" i="1"/>
  <c r="V96" i="1"/>
  <c r="W96" i="1"/>
  <c r="T97" i="1"/>
  <c r="U97" i="1"/>
  <c r="V97" i="1"/>
  <c r="W97" i="1"/>
  <c r="T98" i="1"/>
  <c r="U98" i="1"/>
  <c r="V98" i="1"/>
  <c r="W98" i="1"/>
  <c r="T99" i="1"/>
  <c r="U99" i="1"/>
  <c r="V99" i="1"/>
  <c r="W99" i="1"/>
  <c r="T100" i="1"/>
  <c r="U100" i="1"/>
  <c r="V100" i="1"/>
  <c r="W100" i="1"/>
  <c r="T101" i="1"/>
  <c r="U101" i="1"/>
  <c r="V101" i="1"/>
  <c r="W101" i="1"/>
  <c r="T102" i="1"/>
  <c r="U102" i="1"/>
  <c r="V102" i="1"/>
  <c r="W102" i="1"/>
  <c r="T103" i="1"/>
  <c r="U103" i="1"/>
  <c r="V103" i="1"/>
  <c r="W103" i="1"/>
  <c r="T104" i="1"/>
  <c r="U104" i="1"/>
  <c r="V104" i="1"/>
  <c r="W104" i="1"/>
  <c r="T105" i="1"/>
  <c r="U105" i="1"/>
  <c r="V105" i="1"/>
  <c r="W105" i="1"/>
  <c r="T106" i="1"/>
  <c r="U106" i="1"/>
  <c r="V106" i="1"/>
  <c r="W106" i="1"/>
  <c r="T107" i="1"/>
  <c r="U107" i="1"/>
  <c r="V107" i="1"/>
  <c r="W107" i="1"/>
  <c r="T108" i="1"/>
  <c r="U108" i="1"/>
  <c r="V108" i="1"/>
  <c r="W108" i="1"/>
  <c r="T109" i="1"/>
  <c r="U109" i="1"/>
  <c r="V109" i="1"/>
  <c r="W109" i="1"/>
  <c r="T110" i="1"/>
  <c r="U110" i="1"/>
  <c r="V110" i="1"/>
  <c r="W110" i="1"/>
  <c r="T111" i="1"/>
  <c r="U111" i="1"/>
  <c r="V111" i="1"/>
  <c r="W111" i="1"/>
  <c r="T112" i="1"/>
  <c r="U112" i="1"/>
  <c r="V112" i="1"/>
  <c r="W112" i="1"/>
  <c r="T113" i="1"/>
  <c r="U113" i="1"/>
  <c r="V113" i="1"/>
  <c r="W113" i="1"/>
  <c r="T114" i="1"/>
  <c r="U114" i="1"/>
  <c r="V114" i="1"/>
  <c r="W114" i="1"/>
  <c r="T115" i="1"/>
  <c r="U115" i="1"/>
  <c r="V115" i="1"/>
  <c r="W115" i="1"/>
  <c r="T116" i="1"/>
  <c r="U116" i="1"/>
  <c r="V116" i="1"/>
  <c r="W116" i="1"/>
  <c r="T117" i="1"/>
  <c r="U117" i="1"/>
  <c r="V117" i="1"/>
  <c r="W117" i="1"/>
  <c r="T118" i="1"/>
  <c r="U118" i="1"/>
  <c r="V118" i="1"/>
  <c r="W118" i="1"/>
  <c r="T119" i="1"/>
  <c r="U119" i="1"/>
  <c r="V119" i="1"/>
  <c r="W119" i="1"/>
  <c r="T120" i="1"/>
  <c r="U120" i="1"/>
  <c r="V120" i="1"/>
  <c r="W120" i="1"/>
  <c r="T121" i="1"/>
  <c r="U121" i="1"/>
  <c r="V121" i="1"/>
  <c r="W121" i="1"/>
  <c r="T122" i="1"/>
  <c r="U122" i="1"/>
  <c r="V122" i="1"/>
  <c r="W122" i="1"/>
  <c r="T123" i="1"/>
  <c r="U123" i="1"/>
  <c r="V123" i="1"/>
  <c r="W123" i="1"/>
  <c r="T124" i="1"/>
  <c r="U124" i="1"/>
  <c r="V124" i="1"/>
  <c r="W124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O21" i="1"/>
  <c r="P21" i="1"/>
  <c r="Q21" i="1"/>
  <c r="R21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O26" i="1"/>
  <c r="P26" i="1"/>
  <c r="Q26" i="1"/>
  <c r="R26" i="1"/>
  <c r="O27" i="1"/>
  <c r="P27" i="1"/>
  <c r="Q27" i="1"/>
  <c r="R27" i="1"/>
  <c r="O28" i="1"/>
  <c r="P28" i="1"/>
  <c r="Q28" i="1"/>
  <c r="R28" i="1"/>
  <c r="O29" i="1"/>
  <c r="P29" i="1"/>
  <c r="Q29" i="1"/>
  <c r="R29" i="1"/>
  <c r="O30" i="1"/>
  <c r="P30" i="1"/>
  <c r="Q30" i="1"/>
  <c r="R30" i="1"/>
  <c r="O31" i="1"/>
  <c r="P31" i="1"/>
  <c r="Q31" i="1"/>
  <c r="R31" i="1"/>
  <c r="O32" i="1"/>
  <c r="P32" i="1"/>
  <c r="Q32" i="1"/>
  <c r="R32" i="1"/>
  <c r="O33" i="1"/>
  <c r="P33" i="1"/>
  <c r="Q33" i="1"/>
  <c r="R33" i="1"/>
  <c r="O34" i="1"/>
  <c r="P34" i="1"/>
  <c r="Q34" i="1"/>
  <c r="R34" i="1"/>
  <c r="O35" i="1"/>
  <c r="P35" i="1"/>
  <c r="Q35" i="1"/>
  <c r="R35" i="1"/>
  <c r="O36" i="1"/>
  <c r="P36" i="1"/>
  <c r="Q36" i="1"/>
  <c r="R36" i="1"/>
  <c r="O37" i="1"/>
  <c r="P37" i="1"/>
  <c r="Q37" i="1"/>
  <c r="R37" i="1"/>
  <c r="O38" i="1"/>
  <c r="P38" i="1"/>
  <c r="Q38" i="1"/>
  <c r="R38" i="1"/>
  <c r="O39" i="1"/>
  <c r="P39" i="1"/>
  <c r="Q39" i="1"/>
  <c r="R39" i="1"/>
  <c r="O40" i="1"/>
  <c r="P40" i="1"/>
  <c r="Q40" i="1"/>
  <c r="R40" i="1"/>
  <c r="O41" i="1"/>
  <c r="P41" i="1"/>
  <c r="Q41" i="1"/>
  <c r="R41" i="1"/>
  <c r="O42" i="1"/>
  <c r="P42" i="1"/>
  <c r="Q42" i="1"/>
  <c r="R42" i="1"/>
  <c r="O43" i="1"/>
  <c r="P43" i="1"/>
  <c r="Q43" i="1"/>
  <c r="R43" i="1"/>
  <c r="O44" i="1"/>
  <c r="P44" i="1"/>
  <c r="Q44" i="1"/>
  <c r="R44" i="1"/>
  <c r="O45" i="1"/>
  <c r="P45" i="1"/>
  <c r="Q45" i="1"/>
  <c r="R45" i="1"/>
  <c r="O46" i="1"/>
  <c r="P46" i="1"/>
  <c r="Q46" i="1"/>
  <c r="R46" i="1"/>
  <c r="O47" i="1"/>
  <c r="P47" i="1"/>
  <c r="Q47" i="1"/>
  <c r="R47" i="1"/>
  <c r="O48" i="1"/>
  <c r="P48" i="1"/>
  <c r="Q48" i="1"/>
  <c r="R48" i="1"/>
  <c r="O49" i="1"/>
  <c r="P49" i="1"/>
  <c r="Q49" i="1"/>
  <c r="R49" i="1"/>
  <c r="O50" i="1"/>
  <c r="P50" i="1"/>
  <c r="Q50" i="1"/>
  <c r="R50" i="1"/>
  <c r="O51" i="1"/>
  <c r="P51" i="1"/>
  <c r="Q51" i="1"/>
  <c r="R51" i="1"/>
  <c r="O52" i="1"/>
  <c r="P52" i="1"/>
  <c r="Q52" i="1"/>
  <c r="R52" i="1"/>
  <c r="O53" i="1"/>
  <c r="P53" i="1"/>
  <c r="Q53" i="1"/>
  <c r="R53" i="1"/>
  <c r="O54" i="1"/>
  <c r="P54" i="1"/>
  <c r="Q54" i="1"/>
  <c r="R54" i="1"/>
  <c r="O55" i="1"/>
  <c r="P55" i="1"/>
  <c r="Q55" i="1"/>
  <c r="R55" i="1"/>
  <c r="O56" i="1"/>
  <c r="P56" i="1"/>
  <c r="Q56" i="1"/>
  <c r="R56" i="1"/>
  <c r="O57" i="1"/>
  <c r="P57" i="1"/>
  <c r="Q57" i="1"/>
  <c r="R57" i="1"/>
  <c r="O58" i="1"/>
  <c r="P58" i="1"/>
  <c r="Q58" i="1"/>
  <c r="R58" i="1"/>
  <c r="O59" i="1"/>
  <c r="P59" i="1"/>
  <c r="Q59" i="1"/>
  <c r="R59" i="1"/>
  <c r="O60" i="1"/>
  <c r="P60" i="1"/>
  <c r="Q60" i="1"/>
  <c r="R60" i="1"/>
  <c r="O61" i="1"/>
  <c r="P61" i="1"/>
  <c r="Q61" i="1"/>
  <c r="R61" i="1"/>
  <c r="O62" i="1"/>
  <c r="P62" i="1"/>
  <c r="Q62" i="1"/>
  <c r="R62" i="1"/>
  <c r="O63" i="1"/>
  <c r="P63" i="1"/>
  <c r="Q63" i="1"/>
  <c r="R63" i="1"/>
  <c r="O64" i="1"/>
  <c r="P64" i="1"/>
  <c r="Q64" i="1"/>
  <c r="R64" i="1"/>
  <c r="O65" i="1"/>
  <c r="P65" i="1"/>
  <c r="Q65" i="1"/>
  <c r="R65" i="1"/>
  <c r="O66" i="1"/>
  <c r="P66" i="1"/>
  <c r="Q66" i="1"/>
  <c r="R66" i="1"/>
  <c r="O67" i="1"/>
  <c r="P67" i="1"/>
  <c r="Q67" i="1"/>
  <c r="R67" i="1"/>
  <c r="O68" i="1"/>
  <c r="P68" i="1"/>
  <c r="Q68" i="1"/>
  <c r="R68" i="1"/>
  <c r="O69" i="1"/>
  <c r="P69" i="1"/>
  <c r="Q69" i="1"/>
  <c r="R69" i="1"/>
  <c r="O70" i="1"/>
  <c r="P70" i="1"/>
  <c r="Q70" i="1"/>
  <c r="R70" i="1"/>
  <c r="O71" i="1"/>
  <c r="P71" i="1"/>
  <c r="Q71" i="1"/>
  <c r="R71" i="1"/>
  <c r="O72" i="1"/>
  <c r="P72" i="1"/>
  <c r="Q72" i="1"/>
  <c r="R72" i="1"/>
  <c r="O73" i="1"/>
  <c r="P73" i="1"/>
  <c r="Q73" i="1"/>
  <c r="R73" i="1"/>
  <c r="O74" i="1"/>
  <c r="P74" i="1"/>
  <c r="Q74" i="1"/>
  <c r="R74" i="1"/>
  <c r="O75" i="1"/>
  <c r="P75" i="1"/>
  <c r="Q75" i="1"/>
  <c r="R75" i="1"/>
  <c r="O76" i="1"/>
  <c r="P76" i="1"/>
  <c r="Q76" i="1"/>
  <c r="R76" i="1"/>
  <c r="O77" i="1"/>
  <c r="P77" i="1"/>
  <c r="Q77" i="1"/>
  <c r="R77" i="1"/>
  <c r="O78" i="1"/>
  <c r="P78" i="1"/>
  <c r="Q78" i="1"/>
  <c r="R78" i="1"/>
  <c r="O79" i="1"/>
  <c r="P79" i="1"/>
  <c r="Q79" i="1"/>
  <c r="R79" i="1"/>
  <c r="O80" i="1"/>
  <c r="P80" i="1"/>
  <c r="Q80" i="1"/>
  <c r="R80" i="1"/>
  <c r="O81" i="1"/>
  <c r="P81" i="1"/>
  <c r="Q81" i="1"/>
  <c r="R81" i="1"/>
  <c r="O82" i="1"/>
  <c r="P82" i="1"/>
  <c r="Q82" i="1"/>
  <c r="R82" i="1"/>
  <c r="O83" i="1"/>
  <c r="P83" i="1"/>
  <c r="Q83" i="1"/>
  <c r="R83" i="1"/>
  <c r="O84" i="1"/>
  <c r="P84" i="1"/>
  <c r="Q84" i="1"/>
  <c r="R84" i="1"/>
  <c r="O85" i="1"/>
  <c r="P85" i="1"/>
  <c r="Q85" i="1"/>
  <c r="R85" i="1"/>
  <c r="O86" i="1"/>
  <c r="P86" i="1"/>
  <c r="Q86" i="1"/>
  <c r="R86" i="1"/>
  <c r="O87" i="1"/>
  <c r="P87" i="1"/>
  <c r="Q87" i="1"/>
  <c r="R87" i="1"/>
  <c r="O88" i="1"/>
  <c r="P88" i="1"/>
  <c r="Q88" i="1"/>
  <c r="R88" i="1"/>
  <c r="O89" i="1"/>
  <c r="P89" i="1"/>
  <c r="Q89" i="1"/>
  <c r="R89" i="1"/>
  <c r="O90" i="1"/>
  <c r="P90" i="1"/>
  <c r="Q90" i="1"/>
  <c r="R90" i="1"/>
  <c r="O91" i="1"/>
  <c r="P91" i="1"/>
  <c r="Q91" i="1"/>
  <c r="R91" i="1"/>
  <c r="O92" i="1"/>
  <c r="P92" i="1"/>
  <c r="Q92" i="1"/>
  <c r="R92" i="1"/>
  <c r="O93" i="1"/>
  <c r="P93" i="1"/>
  <c r="Q93" i="1"/>
  <c r="R93" i="1"/>
  <c r="O94" i="1"/>
  <c r="P94" i="1"/>
  <c r="Q94" i="1"/>
  <c r="R94" i="1"/>
  <c r="O95" i="1"/>
  <c r="P95" i="1"/>
  <c r="Q95" i="1"/>
  <c r="R95" i="1"/>
  <c r="O96" i="1"/>
  <c r="P96" i="1"/>
  <c r="Q96" i="1"/>
  <c r="R96" i="1"/>
  <c r="O97" i="1"/>
  <c r="P97" i="1"/>
  <c r="Q97" i="1"/>
  <c r="R97" i="1"/>
  <c r="O98" i="1"/>
  <c r="P98" i="1"/>
  <c r="Q98" i="1"/>
  <c r="R98" i="1"/>
  <c r="O99" i="1"/>
  <c r="P99" i="1"/>
  <c r="Q99" i="1"/>
  <c r="R99" i="1"/>
  <c r="O100" i="1"/>
  <c r="P100" i="1"/>
  <c r="Q100" i="1"/>
  <c r="R100" i="1"/>
  <c r="O101" i="1"/>
  <c r="P101" i="1"/>
  <c r="Q101" i="1"/>
  <c r="R101" i="1"/>
  <c r="O102" i="1"/>
  <c r="P102" i="1"/>
  <c r="Q102" i="1"/>
  <c r="R102" i="1"/>
  <c r="O103" i="1"/>
  <c r="P103" i="1"/>
  <c r="Q103" i="1"/>
  <c r="R103" i="1"/>
  <c r="O104" i="1"/>
  <c r="P104" i="1"/>
  <c r="Q104" i="1"/>
  <c r="R104" i="1"/>
  <c r="O105" i="1"/>
  <c r="P105" i="1"/>
  <c r="Q105" i="1"/>
  <c r="R105" i="1"/>
  <c r="O106" i="1"/>
  <c r="P106" i="1"/>
  <c r="Q106" i="1"/>
  <c r="R106" i="1"/>
  <c r="O107" i="1"/>
  <c r="P107" i="1"/>
  <c r="Q107" i="1"/>
  <c r="R107" i="1"/>
  <c r="O108" i="1"/>
  <c r="P108" i="1"/>
  <c r="Q108" i="1"/>
  <c r="R108" i="1"/>
  <c r="O109" i="1"/>
  <c r="P109" i="1"/>
  <c r="Q109" i="1"/>
  <c r="R109" i="1"/>
  <c r="O110" i="1"/>
  <c r="P110" i="1"/>
  <c r="Q110" i="1"/>
  <c r="R110" i="1"/>
  <c r="O111" i="1"/>
  <c r="P111" i="1"/>
  <c r="Q111" i="1"/>
  <c r="R111" i="1"/>
  <c r="O112" i="1"/>
  <c r="P112" i="1"/>
  <c r="Q112" i="1"/>
  <c r="R112" i="1"/>
  <c r="O113" i="1"/>
  <c r="P113" i="1"/>
  <c r="Q113" i="1"/>
  <c r="R113" i="1"/>
  <c r="O114" i="1"/>
  <c r="P114" i="1"/>
  <c r="Q114" i="1"/>
  <c r="R114" i="1"/>
  <c r="O115" i="1"/>
  <c r="P115" i="1"/>
  <c r="Q115" i="1"/>
  <c r="R115" i="1"/>
  <c r="O116" i="1"/>
  <c r="P116" i="1"/>
  <c r="Q116" i="1"/>
  <c r="R116" i="1"/>
  <c r="O117" i="1"/>
  <c r="P117" i="1"/>
  <c r="Q117" i="1"/>
  <c r="R117" i="1"/>
  <c r="O118" i="1"/>
  <c r="P118" i="1"/>
  <c r="Q118" i="1"/>
  <c r="R118" i="1"/>
  <c r="O119" i="1"/>
  <c r="P119" i="1"/>
  <c r="Q119" i="1"/>
  <c r="R119" i="1"/>
  <c r="O120" i="1"/>
  <c r="P120" i="1"/>
  <c r="Q120" i="1"/>
  <c r="R120" i="1"/>
  <c r="O121" i="1"/>
  <c r="P121" i="1"/>
  <c r="Q121" i="1"/>
  <c r="R121" i="1"/>
  <c r="O122" i="1"/>
  <c r="P122" i="1"/>
  <c r="Q122" i="1"/>
  <c r="R122" i="1"/>
  <c r="O123" i="1"/>
  <c r="P123" i="1"/>
  <c r="Q123" i="1"/>
  <c r="R123" i="1"/>
  <c r="O124" i="1"/>
  <c r="P124" i="1"/>
  <c r="Q124" i="1"/>
  <c r="R124" i="1"/>
  <c r="W5" i="1"/>
  <c r="V5" i="1"/>
  <c r="U5" i="1"/>
  <c r="T5" i="1"/>
  <c r="R5" i="1"/>
  <c r="Q5" i="1"/>
  <c r="P5" i="1"/>
  <c r="O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0" i="1"/>
  <c r="K50" i="1"/>
  <c r="L50" i="1"/>
  <c r="M50" i="1"/>
  <c r="J51" i="1"/>
  <c r="K51" i="1"/>
  <c r="L51" i="1"/>
  <c r="M51" i="1"/>
  <c r="J52" i="1"/>
  <c r="K52" i="1"/>
  <c r="L52" i="1"/>
  <c r="M52" i="1"/>
  <c r="J53" i="1"/>
  <c r="K53" i="1"/>
  <c r="L53" i="1"/>
  <c r="M53" i="1"/>
  <c r="J54" i="1"/>
  <c r="K54" i="1"/>
  <c r="L54" i="1"/>
  <c r="M54" i="1"/>
  <c r="J55" i="1"/>
  <c r="K55" i="1"/>
  <c r="L55" i="1"/>
  <c r="M55" i="1"/>
  <c r="J56" i="1"/>
  <c r="K56" i="1"/>
  <c r="L56" i="1"/>
  <c r="M56" i="1"/>
  <c r="J57" i="1"/>
  <c r="K57" i="1"/>
  <c r="L57" i="1"/>
  <c r="M57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4" i="1"/>
  <c r="K64" i="1"/>
  <c r="L64" i="1"/>
  <c r="M64" i="1"/>
  <c r="J65" i="1"/>
  <c r="K65" i="1"/>
  <c r="L65" i="1"/>
  <c r="M65" i="1"/>
  <c r="J66" i="1"/>
  <c r="K66" i="1"/>
  <c r="L66" i="1"/>
  <c r="M66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79" i="1"/>
  <c r="K79" i="1"/>
  <c r="L79" i="1"/>
  <c r="M79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7" i="1"/>
  <c r="K87" i="1"/>
  <c r="L87" i="1"/>
  <c r="M87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5" i="1"/>
  <c r="K105" i="1"/>
  <c r="L105" i="1"/>
  <c r="M105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M5" i="1"/>
  <c r="L5" i="1"/>
  <c r="K5" i="1"/>
  <c r="J5" i="1"/>
  <c r="H4" i="1"/>
  <c r="X106" i="5" l="1"/>
  <c r="X39" i="5"/>
  <c r="X44" i="5"/>
  <c r="X45" i="5"/>
  <c r="X47" i="5"/>
  <c r="X99" i="5"/>
  <c r="X6" i="5"/>
  <c r="Y17" i="5"/>
  <c r="Z17" i="5" s="1"/>
  <c r="X70" i="5"/>
  <c r="X73" i="5"/>
  <c r="X105" i="5"/>
  <c r="Y105" i="5" s="1"/>
  <c r="Z105" i="5" s="1"/>
  <c r="X107" i="5"/>
  <c r="X51" i="5"/>
  <c r="X75" i="5"/>
  <c r="X82" i="5"/>
  <c r="X113" i="5"/>
  <c r="X59" i="5"/>
  <c r="X87" i="5"/>
  <c r="Y110" i="5"/>
  <c r="Z110" i="5" s="1"/>
  <c r="Y111" i="5"/>
  <c r="Z111" i="5" s="1"/>
  <c r="X21" i="5"/>
  <c r="Y21" i="5" s="1"/>
  <c r="Z21" i="5" s="1"/>
  <c r="X23" i="5"/>
  <c r="X118" i="5"/>
  <c r="X111" i="5"/>
  <c r="Y14" i="5"/>
  <c r="Z14" i="5" s="1"/>
  <c r="X17" i="5"/>
  <c r="X25" i="5"/>
  <c r="X26" i="5"/>
  <c r="X28" i="5"/>
  <c r="Y28" i="5" s="1"/>
  <c r="Z28" i="5" s="1"/>
  <c r="X30" i="5"/>
  <c r="X58" i="5"/>
  <c r="Y58" i="5" s="1"/>
  <c r="Z58" i="5" s="1"/>
  <c r="X63" i="5"/>
  <c r="Y63" i="5" s="1"/>
  <c r="Z63" i="5" s="1"/>
  <c r="X89" i="5"/>
  <c r="Y106" i="5"/>
  <c r="Z106" i="5" s="1"/>
  <c r="X123" i="5"/>
  <c r="Y123" i="5" s="1"/>
  <c r="Z123" i="5" s="1"/>
  <c r="X53" i="5"/>
  <c r="X117" i="5"/>
  <c r="X27" i="5"/>
  <c r="X32" i="5"/>
  <c r="X33" i="5"/>
  <c r="Y33" i="5" s="1"/>
  <c r="Z33" i="5" s="1"/>
  <c r="X35" i="5"/>
  <c r="X69" i="5"/>
  <c r="Y69" i="5" s="1"/>
  <c r="Z69" i="5" s="1"/>
  <c r="X93" i="5"/>
  <c r="X95" i="5"/>
  <c r="Y95" i="5" s="1"/>
  <c r="Z95" i="5" s="1"/>
  <c r="X121" i="5"/>
  <c r="X77" i="5"/>
  <c r="X37" i="5"/>
  <c r="X38" i="5"/>
  <c r="Y38" i="5" s="1"/>
  <c r="Z38" i="5" s="1"/>
  <c r="X40" i="5"/>
  <c r="X42" i="5"/>
  <c r="X65" i="5"/>
  <c r="X71" i="5"/>
  <c r="X97" i="5"/>
  <c r="Y97" i="5" s="1"/>
  <c r="Z97" i="5" s="1"/>
  <c r="X98" i="5"/>
  <c r="Y98" i="5" s="1"/>
  <c r="Z98" i="5" s="1"/>
  <c r="X100" i="5"/>
  <c r="X102" i="5"/>
  <c r="S78" i="5"/>
  <c r="S7" i="5"/>
  <c r="Y62" i="5"/>
  <c r="Z62" i="5" s="1"/>
  <c r="Y64" i="5"/>
  <c r="Z64" i="5" s="1"/>
  <c r="Y66" i="5"/>
  <c r="Z66" i="5" s="1"/>
  <c r="S74" i="5"/>
  <c r="S75" i="5"/>
  <c r="S77" i="5"/>
  <c r="S79" i="5"/>
  <c r="S23" i="5"/>
  <c r="S26" i="5"/>
  <c r="S27" i="5"/>
  <c r="S29" i="5"/>
  <c r="S31" i="5"/>
  <c r="Y31" i="5" s="1"/>
  <c r="Z31" i="5" s="1"/>
  <c r="Y36" i="5"/>
  <c r="Z36" i="5" s="1"/>
  <c r="S57" i="5"/>
  <c r="Y68" i="5"/>
  <c r="Z68" i="5" s="1"/>
  <c r="S76" i="5"/>
  <c r="S95" i="5"/>
  <c r="S98" i="5"/>
  <c r="S99" i="5"/>
  <c r="S101" i="5"/>
  <c r="S103" i="5"/>
  <c r="S118" i="5"/>
  <c r="S120" i="5"/>
  <c r="Y120" i="5" s="1"/>
  <c r="Z120" i="5" s="1"/>
  <c r="Y46" i="5"/>
  <c r="Z46" i="5" s="1"/>
  <c r="S30" i="5"/>
  <c r="S102" i="5"/>
  <c r="S124" i="5"/>
  <c r="S83" i="5"/>
  <c r="Y23" i="5"/>
  <c r="Z23" i="5" s="1"/>
  <c r="S45" i="5"/>
  <c r="S46" i="5"/>
  <c r="S66" i="5"/>
  <c r="S89" i="5"/>
  <c r="S91" i="5"/>
  <c r="S122" i="5"/>
  <c r="Y122" i="5" s="1"/>
  <c r="Z122" i="5" s="1"/>
  <c r="S6" i="5"/>
  <c r="S16" i="5"/>
  <c r="S19" i="5"/>
  <c r="Y19" i="5" s="1"/>
  <c r="Z19" i="5" s="1"/>
  <c r="S42" i="5"/>
  <c r="Y55" i="5"/>
  <c r="Z55" i="5" s="1"/>
  <c r="S88" i="5"/>
  <c r="Y93" i="5"/>
  <c r="Z93" i="5" s="1"/>
  <c r="S107" i="5"/>
  <c r="S35" i="5"/>
  <c r="S40" i="5"/>
  <c r="Y8" i="5"/>
  <c r="Z8" i="5" s="1"/>
  <c r="S47" i="5"/>
  <c r="Y47" i="5" s="1"/>
  <c r="Z47" i="5" s="1"/>
  <c r="S50" i="5"/>
  <c r="S51" i="5"/>
  <c r="S53" i="5"/>
  <c r="S55" i="5"/>
  <c r="S70" i="5"/>
  <c r="S72" i="5"/>
  <c r="Y100" i="5"/>
  <c r="Z100" i="5" s="1"/>
  <c r="S112" i="5"/>
  <c r="S59" i="5"/>
  <c r="Y112" i="5"/>
  <c r="Z112" i="5" s="1"/>
  <c r="S64" i="5"/>
  <c r="Y116" i="5"/>
  <c r="Z116" i="5" s="1"/>
  <c r="Y10" i="5"/>
  <c r="Z10" i="5" s="1"/>
  <c r="S90" i="5"/>
  <c r="S5" i="5"/>
  <c r="S18" i="5"/>
  <c r="S21" i="5"/>
  <c r="S22" i="5"/>
  <c r="Y22" i="5" s="1"/>
  <c r="Z22" i="5" s="1"/>
  <c r="S24" i="5"/>
  <c r="S52" i="5"/>
  <c r="S71" i="5"/>
  <c r="Y74" i="5"/>
  <c r="Z74" i="5" s="1"/>
  <c r="Y79" i="5"/>
  <c r="Z79" i="5" s="1"/>
  <c r="S94" i="5"/>
  <c r="S96" i="5"/>
  <c r="S114" i="5"/>
  <c r="Y114" i="5" s="1"/>
  <c r="Z114" i="5" s="1"/>
  <c r="N43" i="5"/>
  <c r="Y43" i="5" s="1"/>
  <c r="Z43" i="5" s="1"/>
  <c r="N113" i="5"/>
  <c r="Y113" i="5" s="1"/>
  <c r="Z113" i="5" s="1"/>
  <c r="N18" i="5"/>
  <c r="Y18" i="5" s="1"/>
  <c r="Z18" i="5" s="1"/>
  <c r="N59" i="5"/>
  <c r="N75" i="5"/>
  <c r="N76" i="5"/>
  <c r="Y76" i="5" s="1"/>
  <c r="Z76" i="5" s="1"/>
  <c r="N78" i="5"/>
  <c r="Y78" i="5" s="1"/>
  <c r="Z78" i="5" s="1"/>
  <c r="N107" i="5"/>
  <c r="Y107" i="5" s="1"/>
  <c r="Z107" i="5" s="1"/>
  <c r="N124" i="5"/>
  <c r="N20" i="5"/>
  <c r="Y20" i="5" s="1"/>
  <c r="Z20" i="5" s="1"/>
  <c r="N39" i="5"/>
  <c r="Y39" i="5" s="1"/>
  <c r="Z39" i="5" s="1"/>
  <c r="N40" i="5"/>
  <c r="N42" i="5"/>
  <c r="Y42" i="5" s="1"/>
  <c r="Z42" i="5" s="1"/>
  <c r="N61" i="5"/>
  <c r="Y61" i="5" s="1"/>
  <c r="Z61" i="5" s="1"/>
  <c r="N77" i="5"/>
  <c r="Y77" i="5" s="1"/>
  <c r="Z77" i="5" s="1"/>
  <c r="N80" i="5"/>
  <c r="Y80" i="5" s="1"/>
  <c r="Z80" i="5" s="1"/>
  <c r="N109" i="5"/>
  <c r="Y109" i="5" s="1"/>
  <c r="Z109" i="5" s="1"/>
  <c r="N5" i="5"/>
  <c r="Y5" i="5" s="1"/>
  <c r="Z5" i="5" s="1"/>
  <c r="N6" i="5"/>
  <c r="N41" i="5"/>
  <c r="N44" i="5"/>
  <c r="Y44" i="5" s="1"/>
  <c r="Z44" i="5" s="1"/>
  <c r="N60" i="5"/>
  <c r="N108" i="5"/>
  <c r="N65" i="5"/>
  <c r="Y65" i="5" s="1"/>
  <c r="Z65" i="5" s="1"/>
  <c r="N115" i="5"/>
  <c r="Y115" i="5" s="1"/>
  <c r="Z115" i="5" s="1"/>
  <c r="N27" i="5"/>
  <c r="N28" i="5"/>
  <c r="N30" i="5"/>
  <c r="N51" i="5"/>
  <c r="N52" i="5"/>
  <c r="Y52" i="5" s="1"/>
  <c r="Z52" i="5" s="1"/>
  <c r="N54" i="5"/>
  <c r="Y54" i="5" s="1"/>
  <c r="Z54" i="5" s="1"/>
  <c r="N85" i="5"/>
  <c r="Y85" i="5" s="1"/>
  <c r="Z85" i="5" s="1"/>
  <c r="N101" i="5"/>
  <c r="Y101" i="5" s="1"/>
  <c r="Z101" i="5" s="1"/>
  <c r="N104" i="5"/>
  <c r="Y104" i="5" s="1"/>
  <c r="Z104" i="5" s="1"/>
  <c r="N13" i="5"/>
  <c r="N29" i="5"/>
  <c r="N32" i="5"/>
  <c r="N53" i="5"/>
  <c r="N56" i="5"/>
  <c r="Y56" i="5" s="1"/>
  <c r="Z56" i="5" s="1"/>
  <c r="N84" i="5"/>
  <c r="N24" i="5"/>
  <c r="Y24" i="5" s="1"/>
  <c r="Z24" i="5" s="1"/>
  <c r="N48" i="5"/>
  <c r="Y48" i="5" s="1"/>
  <c r="Z48" i="5" s="1"/>
  <c r="N12" i="5"/>
  <c r="Y12" i="5" s="1"/>
  <c r="Z12" i="5" s="1"/>
  <c r="N71" i="5"/>
  <c r="N87" i="5"/>
  <c r="N88" i="5"/>
  <c r="N90" i="5"/>
  <c r="Y90" i="5" s="1"/>
  <c r="Z90" i="5" s="1"/>
  <c r="N103" i="5"/>
  <c r="Y103" i="5" s="1"/>
  <c r="Z103" i="5" s="1"/>
  <c r="N119" i="5"/>
  <c r="N96" i="5"/>
  <c r="Y96" i="5" s="1"/>
  <c r="Z96" i="5" s="1"/>
  <c r="N15" i="5"/>
  <c r="N34" i="5"/>
  <c r="N35" i="5"/>
  <c r="N73" i="5"/>
  <c r="N89" i="5"/>
  <c r="N92" i="5"/>
  <c r="Y92" i="5" s="1"/>
  <c r="Z92" i="5" s="1"/>
  <c r="N121" i="5"/>
  <c r="N7" i="5"/>
  <c r="N67" i="5"/>
  <c r="Y67" i="5" s="1"/>
  <c r="Z67" i="5" s="1"/>
  <c r="N16" i="5"/>
  <c r="Y16" i="5" s="1"/>
  <c r="Z16" i="5" s="1"/>
  <c r="N37" i="5"/>
  <c r="N72" i="5"/>
  <c r="N120" i="5"/>
  <c r="Y70" i="5"/>
  <c r="Z70" i="5" s="1"/>
  <c r="Y86" i="5"/>
  <c r="Z86" i="5" s="1"/>
  <c r="Y91" i="5"/>
  <c r="Z91" i="5" s="1"/>
  <c r="Y41" i="5"/>
  <c r="Z41" i="5" s="1"/>
  <c r="Y57" i="5"/>
  <c r="Z57" i="5" s="1"/>
  <c r="Y60" i="5"/>
  <c r="Z60" i="5" s="1"/>
  <c r="Y108" i="5"/>
  <c r="Z108" i="5" s="1"/>
  <c r="Y7" i="5"/>
  <c r="Z7" i="5" s="1"/>
  <c r="Y25" i="5"/>
  <c r="Z25" i="5" s="1"/>
  <c r="Y49" i="5"/>
  <c r="Z49" i="5" s="1"/>
  <c r="Y83" i="5"/>
  <c r="Z83" i="5" s="1"/>
  <c r="Y94" i="5"/>
  <c r="Z94" i="5" s="1"/>
  <c r="Y99" i="5"/>
  <c r="Z99" i="5" s="1"/>
  <c r="Y27" i="5"/>
  <c r="Z27" i="5" s="1"/>
  <c r="Y45" i="5"/>
  <c r="Z45" i="5" s="1"/>
  <c r="Y51" i="5"/>
  <c r="Z51" i="5" s="1"/>
  <c r="Y81" i="5"/>
  <c r="Z81" i="5" s="1"/>
  <c r="Y9" i="5"/>
  <c r="Z9" i="5" s="1"/>
  <c r="Y13" i="5"/>
  <c r="Z13" i="5" s="1"/>
  <c r="Y32" i="5"/>
  <c r="Z32" i="5" s="1"/>
  <c r="Y53" i="5"/>
  <c r="Z53" i="5" s="1"/>
  <c r="Y84" i="5"/>
  <c r="Z84" i="5" s="1"/>
  <c r="Y82" i="5"/>
  <c r="Z82" i="5" s="1"/>
  <c r="Y119" i="5"/>
  <c r="Z119" i="5" s="1"/>
  <c r="Y15" i="5"/>
  <c r="Z15" i="5" s="1"/>
  <c r="Y26" i="5"/>
  <c r="Z26" i="5" s="1"/>
  <c r="Y34" i="5"/>
  <c r="Z34" i="5" s="1"/>
  <c r="Y50" i="5"/>
  <c r="Z50" i="5" s="1"/>
  <c r="Y117" i="5"/>
  <c r="Z117" i="5" s="1"/>
  <c r="Y11" i="5"/>
  <c r="Z11" i="5" s="1"/>
  <c r="Y37" i="5"/>
  <c r="Z37" i="5" s="1"/>
  <c r="Y72" i="5"/>
  <c r="Z72" i="5" s="1"/>
  <c r="N111" i="1"/>
  <c r="N87" i="1"/>
  <c r="N75" i="1"/>
  <c r="N63" i="1"/>
  <c r="N51" i="1"/>
  <c r="N39" i="1"/>
  <c r="N30" i="1"/>
  <c r="N18" i="1"/>
  <c r="N15" i="1"/>
  <c r="N12" i="1"/>
  <c r="N6" i="1"/>
  <c r="S124" i="1"/>
  <c r="S121" i="1"/>
  <c r="S112" i="1"/>
  <c r="S109" i="1"/>
  <c r="S100" i="1"/>
  <c r="S97" i="1"/>
  <c r="S76" i="1"/>
  <c r="S73" i="1"/>
  <c r="S64" i="1"/>
  <c r="S61" i="1"/>
  <c r="S52" i="1"/>
  <c r="S49" i="1"/>
  <c r="S40" i="1"/>
  <c r="S37" i="1"/>
  <c r="S25" i="1"/>
  <c r="X123" i="1"/>
  <c r="X120" i="1"/>
  <c r="X111" i="1"/>
  <c r="X108" i="1"/>
  <c r="X99" i="1"/>
  <c r="X96" i="1"/>
  <c r="X87" i="1"/>
  <c r="X84" i="1"/>
  <c r="X51" i="1"/>
  <c r="X48" i="1"/>
  <c r="X39" i="1"/>
  <c r="X36" i="1"/>
  <c r="X27" i="1"/>
  <c r="X24" i="1"/>
  <c r="X15" i="1"/>
  <c r="X12" i="1"/>
  <c r="N123" i="1"/>
  <c r="N99" i="1"/>
  <c r="N118" i="1"/>
  <c r="N112" i="1"/>
  <c r="N100" i="1"/>
  <c r="Y100" i="1" s="1"/>
  <c r="Z100" i="1" s="1"/>
  <c r="N94" i="1"/>
  <c r="N88" i="1"/>
  <c r="N82" i="1"/>
  <c r="N70" i="1"/>
  <c r="N64" i="1"/>
  <c r="N61" i="1"/>
  <c r="N58" i="1"/>
  <c r="N52" i="1"/>
  <c r="N49" i="1"/>
  <c r="N46" i="1"/>
  <c r="N37" i="1"/>
  <c r="N25" i="1"/>
  <c r="N22" i="1"/>
  <c r="N16" i="1"/>
  <c r="N13" i="1"/>
  <c r="N10" i="1"/>
  <c r="S119" i="1"/>
  <c r="S116" i="1"/>
  <c r="S113" i="1"/>
  <c r="S107" i="1"/>
  <c r="S104" i="1"/>
  <c r="S101" i="1"/>
  <c r="S95" i="1"/>
  <c r="S92" i="1"/>
  <c r="S89" i="1"/>
  <c r="S83" i="1"/>
  <c r="S80" i="1"/>
  <c r="S77" i="1"/>
  <c r="S71" i="1"/>
  <c r="S68" i="1"/>
  <c r="S65" i="1"/>
  <c r="S59" i="1"/>
  <c r="S56" i="1"/>
  <c r="S53" i="1"/>
  <c r="S47" i="1"/>
  <c r="S44" i="1"/>
  <c r="S41" i="1"/>
  <c r="S35" i="1"/>
  <c r="S32" i="1"/>
  <c r="S29" i="1"/>
  <c r="S23" i="1"/>
  <c r="S20" i="1"/>
  <c r="S17" i="1"/>
  <c r="S11" i="1"/>
  <c r="S8" i="1"/>
  <c r="X124" i="1"/>
  <c r="X118" i="1"/>
  <c r="X115" i="1"/>
  <c r="X112" i="1"/>
  <c r="X106" i="1"/>
  <c r="X103" i="1"/>
  <c r="X100" i="1"/>
  <c r="X94" i="1"/>
  <c r="X91" i="1"/>
  <c r="X88" i="1"/>
  <c r="X82" i="1"/>
  <c r="X79" i="1"/>
  <c r="X76" i="1"/>
  <c r="X70" i="1"/>
  <c r="X67" i="1"/>
  <c r="X64" i="1"/>
  <c r="Y64" i="1" s="1"/>
  <c r="Z64" i="1" s="1"/>
  <c r="X58" i="1"/>
  <c r="X55" i="1"/>
  <c r="X52" i="1"/>
  <c r="X46" i="1"/>
  <c r="X43" i="1"/>
  <c r="X40" i="1"/>
  <c r="X34" i="1"/>
  <c r="X31" i="1"/>
  <c r="X28" i="1"/>
  <c r="Y28" i="1" s="1"/>
  <c r="Z28" i="1" s="1"/>
  <c r="X22" i="1"/>
  <c r="X19" i="1"/>
  <c r="X16" i="1"/>
  <c r="X10" i="1"/>
  <c r="X7" i="1"/>
  <c r="N76" i="1"/>
  <c r="N28" i="1"/>
  <c r="N124" i="1"/>
  <c r="N106" i="1"/>
  <c r="N97" i="1"/>
  <c r="N73" i="1"/>
  <c r="N34" i="1"/>
  <c r="N40" i="1"/>
  <c r="N121" i="1"/>
  <c r="N109" i="1"/>
  <c r="N85" i="1"/>
  <c r="S28" i="1"/>
  <c r="X75" i="1"/>
  <c r="X72" i="1"/>
  <c r="X59" i="1"/>
  <c r="X35" i="1"/>
  <c r="X23" i="1"/>
  <c r="X11" i="1"/>
  <c r="N27" i="1"/>
  <c r="S88" i="1"/>
  <c r="S16" i="1"/>
  <c r="X63" i="1"/>
  <c r="N24" i="1"/>
  <c r="S85" i="1"/>
  <c r="S13" i="1"/>
  <c r="X60" i="1"/>
  <c r="N117" i="1"/>
  <c r="N105" i="1"/>
  <c r="N93" i="1"/>
  <c r="N81" i="1"/>
  <c r="N69" i="1"/>
  <c r="N60" i="1"/>
  <c r="N54" i="1"/>
  <c r="N45" i="1"/>
  <c r="N36" i="1"/>
  <c r="N9" i="1"/>
  <c r="S115" i="1"/>
  <c r="S106" i="1"/>
  <c r="S103" i="1"/>
  <c r="S91" i="1"/>
  <c r="S79" i="1"/>
  <c r="S67" i="1"/>
  <c r="S55" i="1"/>
  <c r="S43" i="1"/>
  <c r="S34" i="1"/>
  <c r="S22" i="1"/>
  <c r="S7" i="1"/>
  <c r="X114" i="1"/>
  <c r="X105" i="1"/>
  <c r="X93" i="1"/>
  <c r="X78" i="1"/>
  <c r="X69" i="1"/>
  <c r="X57" i="1"/>
  <c r="N114" i="1"/>
  <c r="Y114" i="1" s="1"/>
  <c r="Z114" i="1" s="1"/>
  <c r="N78" i="1"/>
  <c r="N66" i="1"/>
  <c r="N57" i="1"/>
  <c r="N48" i="1"/>
  <c r="N42" i="1"/>
  <c r="N33" i="1"/>
  <c r="N21" i="1"/>
  <c r="S118" i="1"/>
  <c r="S94" i="1"/>
  <c r="S82" i="1"/>
  <c r="S70" i="1"/>
  <c r="S58" i="1"/>
  <c r="Y58" i="1" s="1"/>
  <c r="Z58" i="1" s="1"/>
  <c r="S46" i="1"/>
  <c r="S31" i="1"/>
  <c r="S19" i="1"/>
  <c r="S10" i="1"/>
  <c r="X117" i="1"/>
  <c r="X102" i="1"/>
  <c r="X90" i="1"/>
  <c r="X81" i="1"/>
  <c r="X66" i="1"/>
  <c r="X54" i="1"/>
  <c r="X45" i="1"/>
  <c r="X42" i="1"/>
  <c r="X33" i="1"/>
  <c r="X30" i="1"/>
  <c r="X21" i="1"/>
  <c r="X18" i="1"/>
  <c r="X9" i="1"/>
  <c r="X6" i="1"/>
  <c r="N5" i="1"/>
  <c r="N122" i="1"/>
  <c r="N110" i="1"/>
  <c r="N98" i="1"/>
  <c r="N86" i="1"/>
  <c r="N74" i="1"/>
  <c r="Y74" i="1" s="1"/>
  <c r="Z74" i="1" s="1"/>
  <c r="N62" i="1"/>
  <c r="N50" i="1"/>
  <c r="N38" i="1"/>
  <c r="N26" i="1"/>
  <c r="N14" i="1"/>
  <c r="S5" i="1"/>
  <c r="S114" i="1"/>
  <c r="S102" i="1"/>
  <c r="S90" i="1"/>
  <c r="S78" i="1"/>
  <c r="S66" i="1"/>
  <c r="S54" i="1"/>
  <c r="S42" i="1"/>
  <c r="S30" i="1"/>
  <c r="S18" i="1"/>
  <c r="S6" i="1"/>
  <c r="X113" i="1"/>
  <c r="X101" i="1"/>
  <c r="X89" i="1"/>
  <c r="X77" i="1"/>
  <c r="X65" i="1"/>
  <c r="X53" i="1"/>
  <c r="X41" i="1"/>
  <c r="X29" i="1"/>
  <c r="Y29" i="1" s="1"/>
  <c r="Z29" i="1" s="1"/>
  <c r="X17" i="1"/>
  <c r="N120" i="1"/>
  <c r="N108" i="1"/>
  <c r="N96" i="1"/>
  <c r="N84" i="1"/>
  <c r="N102" i="1"/>
  <c r="N90" i="1"/>
  <c r="N72" i="1"/>
  <c r="N29" i="1"/>
  <c r="S96" i="1"/>
  <c r="X119" i="1"/>
  <c r="X83" i="1"/>
  <c r="X71" i="1"/>
  <c r="X47" i="1"/>
  <c r="N113" i="1"/>
  <c r="N65" i="1"/>
  <c r="N41" i="1"/>
  <c r="S120" i="1"/>
  <c r="X95" i="1"/>
  <c r="N107" i="1"/>
  <c r="N104" i="1"/>
  <c r="N95" i="1"/>
  <c r="N92" i="1"/>
  <c r="N83" i="1"/>
  <c r="Y83" i="1" s="1"/>
  <c r="Z83" i="1" s="1"/>
  <c r="N80" i="1"/>
  <c r="N71" i="1"/>
  <c r="N68" i="1"/>
  <c r="N59" i="1"/>
  <c r="N56" i="1"/>
  <c r="N47" i="1"/>
  <c r="N44" i="1"/>
  <c r="N35" i="1"/>
  <c r="N32" i="1"/>
  <c r="N23" i="1"/>
  <c r="Y23" i="1" s="1"/>
  <c r="Z23" i="1" s="1"/>
  <c r="N20" i="1"/>
  <c r="N11" i="1"/>
  <c r="N8" i="1"/>
  <c r="S123" i="1"/>
  <c r="S117" i="1"/>
  <c r="S111" i="1"/>
  <c r="S105" i="1"/>
  <c r="S99" i="1"/>
  <c r="S93" i="1"/>
  <c r="S87" i="1"/>
  <c r="S81" i="1"/>
  <c r="S75" i="1"/>
  <c r="Y75" i="1" s="1"/>
  <c r="Z75" i="1" s="1"/>
  <c r="S69" i="1"/>
  <c r="S63" i="1"/>
  <c r="S57" i="1"/>
  <c r="S51" i="1"/>
  <c r="S45" i="1"/>
  <c r="S39" i="1"/>
  <c r="S33" i="1"/>
  <c r="S27" i="1"/>
  <c r="S21" i="1"/>
  <c r="S15" i="1"/>
  <c r="S9" i="1"/>
  <c r="X122" i="1"/>
  <c r="X116" i="1"/>
  <c r="X110" i="1"/>
  <c r="X104" i="1"/>
  <c r="X98" i="1"/>
  <c r="X92" i="1"/>
  <c r="X86" i="1"/>
  <c r="X80" i="1"/>
  <c r="X74" i="1"/>
  <c r="X68" i="1"/>
  <c r="X62" i="1"/>
  <c r="X56" i="1"/>
  <c r="X50" i="1"/>
  <c r="X44" i="1"/>
  <c r="X38" i="1"/>
  <c r="X32" i="1"/>
  <c r="X26" i="1"/>
  <c r="X20" i="1"/>
  <c r="X14" i="1"/>
  <c r="X8" i="1"/>
  <c r="N53" i="1"/>
  <c r="S84" i="1"/>
  <c r="S72" i="1"/>
  <c r="S60" i="1"/>
  <c r="S36" i="1"/>
  <c r="S24" i="1"/>
  <c r="Y24" i="1" s="1"/>
  <c r="Z24" i="1" s="1"/>
  <c r="S12" i="1"/>
  <c r="X5" i="1"/>
  <c r="S122" i="1"/>
  <c r="S110" i="1"/>
  <c r="S98" i="1"/>
  <c r="S86" i="1"/>
  <c r="S74" i="1"/>
  <c r="S62" i="1"/>
  <c r="S50" i="1"/>
  <c r="S38" i="1"/>
  <c r="S26" i="1"/>
  <c r="S14" i="1"/>
  <c r="X121" i="1"/>
  <c r="X109" i="1"/>
  <c r="X97" i="1"/>
  <c r="X85" i="1"/>
  <c r="X73" i="1"/>
  <c r="X61" i="1"/>
  <c r="X49" i="1"/>
  <c r="X37" i="1"/>
  <c r="X25" i="1"/>
  <c r="X13" i="1"/>
  <c r="N101" i="1"/>
  <c r="N77" i="1"/>
  <c r="Y77" i="1" s="1"/>
  <c r="Z77" i="1" s="1"/>
  <c r="N17" i="1"/>
  <c r="S108" i="1"/>
  <c r="S48" i="1"/>
  <c r="X107" i="1"/>
  <c r="N116" i="1"/>
  <c r="N115" i="1"/>
  <c r="N103" i="1"/>
  <c r="N91" i="1"/>
  <c r="N79" i="1"/>
  <c r="N67" i="1"/>
  <c r="N55" i="1"/>
  <c r="N43" i="1"/>
  <c r="N31" i="1"/>
  <c r="N19" i="1"/>
  <c r="N7" i="1"/>
  <c r="Y7" i="1" s="1"/>
  <c r="Z7" i="1" s="1"/>
  <c r="N89" i="1"/>
  <c r="N119" i="1"/>
  <c r="Y73" i="5" l="1"/>
  <c r="Z73" i="5" s="1"/>
  <c r="Y102" i="5"/>
  <c r="Z102" i="5" s="1"/>
  <c r="Y30" i="5"/>
  <c r="Z30" i="5" s="1"/>
  <c r="Y121" i="5"/>
  <c r="Z121" i="5" s="1"/>
  <c r="Y87" i="5"/>
  <c r="Z87" i="5" s="1"/>
  <c r="Y89" i="5"/>
  <c r="Z89" i="5" s="1"/>
  <c r="Y71" i="5"/>
  <c r="Z71" i="5" s="1"/>
  <c r="Y35" i="5"/>
  <c r="Z35" i="5" s="1"/>
  <c r="Y118" i="5"/>
  <c r="Z118" i="5" s="1"/>
  <c r="Y124" i="5"/>
  <c r="Z124" i="5" s="1"/>
  <c r="Y59" i="5"/>
  <c r="Z59" i="5" s="1"/>
  <c r="Y6" i="5"/>
  <c r="Z6" i="5" s="1"/>
  <c r="Y29" i="5"/>
  <c r="Z29" i="5" s="1"/>
  <c r="Y40" i="5"/>
  <c r="Z40" i="5" s="1"/>
  <c r="Y75" i="5"/>
  <c r="Z75" i="5" s="1"/>
  <c r="Y88" i="5"/>
  <c r="Z88" i="5" s="1"/>
  <c r="Y63" i="1"/>
  <c r="Z63" i="1" s="1"/>
  <c r="Y51" i="1"/>
  <c r="Z51" i="1" s="1"/>
  <c r="Y11" i="1"/>
  <c r="Z11" i="1" s="1"/>
  <c r="Y111" i="1"/>
  <c r="Z111" i="1" s="1"/>
  <c r="Y112" i="1"/>
  <c r="Z112" i="1" s="1"/>
  <c r="Y106" i="1"/>
  <c r="Z106" i="1" s="1"/>
  <c r="Y87" i="1"/>
  <c r="Z87" i="1" s="1"/>
  <c r="Y15" i="1"/>
  <c r="Z15" i="1" s="1"/>
  <c r="Y35" i="1"/>
  <c r="Z35" i="1" s="1"/>
  <c r="Y101" i="1"/>
  <c r="Z101" i="1" s="1"/>
  <c r="Y10" i="1"/>
  <c r="Z10" i="1" s="1"/>
  <c r="Y31" i="1"/>
  <c r="Z31" i="1" s="1"/>
  <c r="Y121" i="1"/>
  <c r="Z121" i="1" s="1"/>
  <c r="Y44" i="1"/>
  <c r="Z44" i="1" s="1"/>
  <c r="Y20" i="1"/>
  <c r="Z20" i="1" s="1"/>
  <c r="Y70" i="1"/>
  <c r="Z70" i="1" s="1"/>
  <c r="Y95" i="1"/>
  <c r="Z95" i="1" s="1"/>
  <c r="Y103" i="1"/>
  <c r="Z103" i="1" s="1"/>
  <c r="Y17" i="1"/>
  <c r="Z17" i="1" s="1"/>
  <c r="Y12" i="1"/>
  <c r="Z12" i="1" s="1"/>
  <c r="Y25" i="1"/>
  <c r="Z25" i="1" s="1"/>
  <c r="Y115" i="1"/>
  <c r="Z115" i="1" s="1"/>
  <c r="Y67" i="1"/>
  <c r="Z67" i="1" s="1"/>
  <c r="Y53" i="1"/>
  <c r="Z53" i="1" s="1"/>
  <c r="Y91" i="1"/>
  <c r="Z91" i="1" s="1"/>
  <c r="Y49" i="1"/>
  <c r="Z49" i="1" s="1"/>
  <c r="Y61" i="1"/>
  <c r="Z61" i="1" s="1"/>
  <c r="Y124" i="1"/>
  <c r="Z124" i="1" s="1"/>
  <c r="Y41" i="1"/>
  <c r="Z41" i="1" s="1"/>
  <c r="Y6" i="1"/>
  <c r="Z6" i="1" s="1"/>
  <c r="Y22" i="1"/>
  <c r="Z22" i="1" s="1"/>
  <c r="Y94" i="1"/>
  <c r="Z94" i="1" s="1"/>
  <c r="Y99" i="1"/>
  <c r="Z99" i="1" s="1"/>
  <c r="Y89" i="1"/>
  <c r="Z89" i="1" s="1"/>
  <c r="Y16" i="1"/>
  <c r="Z16" i="1" s="1"/>
  <c r="Y76" i="1"/>
  <c r="Z76" i="1" s="1"/>
  <c r="Y37" i="1"/>
  <c r="Z37" i="1" s="1"/>
  <c r="Y52" i="1"/>
  <c r="Z52" i="1" s="1"/>
  <c r="Y40" i="1"/>
  <c r="Z40" i="1" s="1"/>
  <c r="Y30" i="1"/>
  <c r="Z30" i="1" s="1"/>
  <c r="Y88" i="1"/>
  <c r="Z88" i="1" s="1"/>
  <c r="Y118" i="1"/>
  <c r="Z118" i="1" s="1"/>
  <c r="Y39" i="1"/>
  <c r="Z39" i="1" s="1"/>
  <c r="Y85" i="1"/>
  <c r="Z85" i="1" s="1"/>
  <c r="Y97" i="1"/>
  <c r="Z97" i="1" s="1"/>
  <c r="Y123" i="1"/>
  <c r="Z123" i="1" s="1"/>
  <c r="Y109" i="1"/>
  <c r="Z109" i="1" s="1"/>
  <c r="Y32" i="1"/>
  <c r="Z32" i="1" s="1"/>
  <c r="Y8" i="1"/>
  <c r="Z8" i="1" s="1"/>
  <c r="Y80" i="1"/>
  <c r="Z80" i="1" s="1"/>
  <c r="Y46" i="1"/>
  <c r="Z46" i="1" s="1"/>
  <c r="Y78" i="1"/>
  <c r="Z78" i="1" s="1"/>
  <c r="Y62" i="1"/>
  <c r="Z62" i="1" s="1"/>
  <c r="Y55" i="1"/>
  <c r="Z55" i="1" s="1"/>
  <c r="Y69" i="1"/>
  <c r="Z69" i="1" s="1"/>
  <c r="Y79" i="1"/>
  <c r="Z79" i="1" s="1"/>
  <c r="Y93" i="1"/>
  <c r="Z93" i="1" s="1"/>
  <c r="Y82" i="1"/>
  <c r="Z82" i="1" s="1"/>
  <c r="Y105" i="1"/>
  <c r="Z105" i="1" s="1"/>
  <c r="Y56" i="1"/>
  <c r="Z56" i="1" s="1"/>
  <c r="Y13" i="1"/>
  <c r="Z13" i="1" s="1"/>
  <c r="Y116" i="1"/>
  <c r="Z116" i="1" s="1"/>
  <c r="Y73" i="1"/>
  <c r="Z73" i="1" s="1"/>
  <c r="Y59" i="1"/>
  <c r="Z59" i="1" s="1"/>
  <c r="Y119" i="1"/>
  <c r="Z119" i="1" s="1"/>
  <c r="Y68" i="1"/>
  <c r="Z68" i="1" s="1"/>
  <c r="Y113" i="1"/>
  <c r="Z113" i="1" s="1"/>
  <c r="Y18" i="1"/>
  <c r="Z18" i="1" s="1"/>
  <c r="Y34" i="1"/>
  <c r="Z34" i="1" s="1"/>
  <c r="Y81" i="1"/>
  <c r="Z81" i="1" s="1"/>
  <c r="Y92" i="1"/>
  <c r="Z92" i="1" s="1"/>
  <c r="Y27" i="1"/>
  <c r="Z27" i="1" s="1"/>
  <c r="Y104" i="1"/>
  <c r="Z104" i="1" s="1"/>
  <c r="Y107" i="1"/>
  <c r="Z107" i="1" s="1"/>
  <c r="Y65" i="1"/>
  <c r="Z65" i="1" s="1"/>
  <c r="Y96" i="1"/>
  <c r="Z96" i="1" s="1"/>
  <c r="Y26" i="1"/>
  <c r="Z26" i="1" s="1"/>
  <c r="Y48" i="1"/>
  <c r="Z48" i="1" s="1"/>
  <c r="Y45" i="1"/>
  <c r="Z45" i="1" s="1"/>
  <c r="Y108" i="1"/>
  <c r="Z108" i="1" s="1"/>
  <c r="Y38" i="1"/>
  <c r="Z38" i="1" s="1"/>
  <c r="Y19" i="1"/>
  <c r="Z19" i="1" s="1"/>
  <c r="Y57" i="1"/>
  <c r="Z57" i="1" s="1"/>
  <c r="Y54" i="1"/>
  <c r="Z54" i="1" s="1"/>
  <c r="Y71" i="1"/>
  <c r="Z71" i="1" s="1"/>
  <c r="Y47" i="1"/>
  <c r="Z47" i="1" s="1"/>
  <c r="Y120" i="1"/>
  <c r="Z120" i="1" s="1"/>
  <c r="Y50" i="1"/>
  <c r="Z50" i="1" s="1"/>
  <c r="Y66" i="1"/>
  <c r="Z66" i="1" s="1"/>
  <c r="Y43" i="1"/>
  <c r="Z43" i="1" s="1"/>
  <c r="Y60" i="1"/>
  <c r="Z60" i="1" s="1"/>
  <c r="Y86" i="1"/>
  <c r="Z86" i="1" s="1"/>
  <c r="Y110" i="1"/>
  <c r="Z110" i="1" s="1"/>
  <c r="Y117" i="1"/>
  <c r="Z117" i="1" s="1"/>
  <c r="Y72" i="1"/>
  <c r="Z72" i="1" s="1"/>
  <c r="Y122" i="1"/>
  <c r="Z122" i="1" s="1"/>
  <c r="Y90" i="1"/>
  <c r="Z90" i="1" s="1"/>
  <c r="Y5" i="1"/>
  <c r="Z5" i="1" s="1"/>
  <c r="Y21" i="1"/>
  <c r="Z21" i="1" s="1"/>
  <c r="Y98" i="1"/>
  <c r="Z98" i="1" s="1"/>
  <c r="Y102" i="1"/>
  <c r="Z102" i="1" s="1"/>
  <c r="Y33" i="1"/>
  <c r="Z33" i="1" s="1"/>
  <c r="Y9" i="1"/>
  <c r="Z9" i="1" s="1"/>
  <c r="Y84" i="1"/>
  <c r="Z84" i="1" s="1"/>
  <c r="Y14" i="1"/>
  <c r="Z14" i="1" s="1"/>
  <c r="Y42" i="1"/>
  <c r="Z42" i="1" s="1"/>
  <c r="Y36" i="1"/>
  <c r="Z36" i="1" s="1"/>
</calcChain>
</file>

<file path=xl/sharedStrings.xml><?xml version="1.0" encoding="utf-8"?>
<sst xmlns="http://schemas.openxmlformats.org/spreadsheetml/2006/main" count="1108" uniqueCount="23">
  <si>
    <t>sepal length</t>
  </si>
  <si>
    <t>sepal width</t>
  </si>
  <si>
    <t>petal length</t>
  </si>
  <si>
    <t>petal width</t>
  </si>
  <si>
    <t>class</t>
  </si>
  <si>
    <t>Iris-setosa</t>
  </si>
  <si>
    <t>Iris-versicolor</t>
  </si>
  <si>
    <t>Iris-virginica</t>
  </si>
  <si>
    <t>K:</t>
  </si>
  <si>
    <t>1. Definir centroides</t>
  </si>
  <si>
    <t>DISTANCIA</t>
  </si>
  <si>
    <t>Centroide 1</t>
  </si>
  <si>
    <t>Centroide 2</t>
  </si>
  <si>
    <t>Centroide 3</t>
  </si>
  <si>
    <t>Centroide Asignado</t>
  </si>
  <si>
    <t>Dist Min</t>
  </si>
  <si>
    <t>C1</t>
  </si>
  <si>
    <t>C2</t>
  </si>
  <si>
    <t>C3</t>
  </si>
  <si>
    <t>Centroide</t>
  </si>
  <si>
    <t>Centroide  2</t>
  </si>
  <si>
    <t>Cenotroide 3</t>
  </si>
  <si>
    <t>new Centroide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</si>
</sst>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" fontId="0" fillId="3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/>
    <xf numFmtId="0" fontId="0" fillId="35" borderId="0" xfId="0" applyFill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165" fontId="0" fillId="36" borderId="0" xfId="0" applyNumberFormat="1" applyFill="1" applyAlignment="1">
      <alignment horizontal="center" vertical="center"/>
    </xf>
    <xf numFmtId="0" fontId="0" fillId="37" borderId="0" xfId="0" applyFill="1" applyAlignment="1">
      <alignment horizontal="center"/>
    </xf>
    <xf numFmtId="165" fontId="0" fillId="37" borderId="0" xfId="0" applyNumberFormat="1" applyFill="1" applyAlignment="1">
      <alignment horizontal="center"/>
    </xf>
    <xf numFmtId="0" fontId="18" fillId="0" borderId="0" xfId="0" applyFont="1"/>
    <xf numFmtId="0" fontId="18" fillId="38" borderId="0" xfId="0" applyFont="1" applyFill="1"/>
    <xf numFmtId="0" fontId="0" fillId="37" borderId="0" xfId="0" applyFill="1"/>
    <xf numFmtId="0" fontId="18" fillId="39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AD70-829B-244A-8374-ABA2D95A62D9}">
  <dimension ref="A1:AU124"/>
  <sheetViews>
    <sheetView topLeftCell="AA1" zoomScale="75" zoomScaleNormal="61" workbookViewId="0">
      <selection activeCell="AA2" sqref="AA2:AS2"/>
    </sheetView>
  </sheetViews>
  <sheetFormatPr baseColWidth="10" defaultRowHeight="16" x14ac:dyDescent="0.2"/>
  <cols>
    <col min="5" max="5" width="12.33203125" bestFit="1" customWidth="1"/>
    <col min="14" max="14" width="11.6640625" bestFit="1" customWidth="1"/>
  </cols>
  <sheetData>
    <row r="1" spans="1:47" x14ac:dyDescent="0.2">
      <c r="J1" t="s">
        <v>11</v>
      </c>
      <c r="O1" t="s">
        <v>12</v>
      </c>
      <c r="T1" t="s">
        <v>13</v>
      </c>
      <c r="Y1" t="s">
        <v>14</v>
      </c>
      <c r="AB1" t="s">
        <v>11</v>
      </c>
      <c r="AI1" t="s">
        <v>20</v>
      </c>
      <c r="AP1" t="s">
        <v>21</v>
      </c>
    </row>
    <row r="2" spans="1:47" x14ac:dyDescent="0.2">
      <c r="AA2" t="s">
        <v>22</v>
      </c>
      <c r="AB2" s="12">
        <f>AVERAGE(AB4:AB43)</f>
        <v>4.9850000000000012</v>
      </c>
      <c r="AC2" s="12">
        <f t="shared" ref="AC2:AE2" si="0">AVERAGE(AC4:AC43)</f>
        <v>3.4125000000000001</v>
      </c>
      <c r="AD2" s="12">
        <f t="shared" si="0"/>
        <v>1.4499999999999997</v>
      </c>
      <c r="AE2" s="12">
        <f t="shared" si="0"/>
        <v>0.24999999999999983</v>
      </c>
      <c r="AH2" t="s">
        <v>22</v>
      </c>
      <c r="AI2" s="12">
        <f>AVERAGE(AI4:AI43)</f>
        <v>5.5959999999999992</v>
      </c>
      <c r="AJ2" s="12">
        <f>AVERAGE(AJ4:AJ43)</f>
        <v>2.6559999999999997</v>
      </c>
      <c r="AK2" s="12">
        <f>AVERAGE(AK4:AK43)</f>
        <v>4.016</v>
      </c>
      <c r="AL2" s="12">
        <f>AVERAGE(AL4:AL43)</f>
        <v>1.24</v>
      </c>
      <c r="AO2" t="s">
        <v>22</v>
      </c>
      <c r="AP2" s="12">
        <f>AVERAGE(AP4:AP58)</f>
        <v>6.5890909090909062</v>
      </c>
      <c r="AQ2" s="12">
        <f>AVERAGE(AQ4:AQ58)</f>
        <v>2.9636363636363647</v>
      </c>
      <c r="AR2" s="12">
        <f>AVERAGE(AR4:AR58)</f>
        <v>5.3236363636363642</v>
      </c>
      <c r="AS2" s="12">
        <f t="shared" ref="AQ2:AS2" si="1">AVERAGE(AS4:AS58)</f>
        <v>1.8636363636363631</v>
      </c>
    </row>
    <row r="3" spans="1:47" x14ac:dyDescent="0.2">
      <c r="J3" s="4" t="s">
        <v>0</v>
      </c>
      <c r="K3" s="4" t="s">
        <v>1</v>
      </c>
      <c r="L3" s="4" t="s">
        <v>2</v>
      </c>
      <c r="M3" s="4" t="s">
        <v>3</v>
      </c>
      <c r="O3" s="4" t="s">
        <v>0</v>
      </c>
      <c r="P3" s="4" t="s">
        <v>1</v>
      </c>
      <c r="Q3" s="4" t="s">
        <v>2</v>
      </c>
      <c r="R3" s="4" t="s">
        <v>3</v>
      </c>
      <c r="T3" s="4" t="s">
        <v>0</v>
      </c>
      <c r="U3" s="4" t="s">
        <v>1</v>
      </c>
      <c r="V3" s="4" t="s">
        <v>2</v>
      </c>
      <c r="W3" s="4" t="s">
        <v>3</v>
      </c>
      <c r="AB3" s="10" t="s">
        <v>0</v>
      </c>
      <c r="AC3" s="10" t="s">
        <v>1</v>
      </c>
      <c r="AD3" s="10" t="s">
        <v>2</v>
      </c>
      <c r="AE3" s="10" t="s">
        <v>3</v>
      </c>
      <c r="AF3" s="10" t="s">
        <v>4</v>
      </c>
      <c r="AG3" s="10" t="s">
        <v>19</v>
      </c>
      <c r="AI3" s="10" t="s">
        <v>0</v>
      </c>
      <c r="AJ3" s="10" t="s">
        <v>1</v>
      </c>
      <c r="AK3" s="10" t="s">
        <v>2</v>
      </c>
      <c r="AL3" s="10" t="s">
        <v>3</v>
      </c>
      <c r="AM3" s="10" t="s">
        <v>4</v>
      </c>
      <c r="AN3" s="10" t="s">
        <v>19</v>
      </c>
      <c r="AP3" s="10" t="s">
        <v>0</v>
      </c>
      <c r="AQ3" s="10" t="s">
        <v>1</v>
      </c>
      <c r="AR3" s="10" t="s">
        <v>2</v>
      </c>
      <c r="AS3" s="10" t="s">
        <v>3</v>
      </c>
      <c r="AT3" s="10" t="s">
        <v>4</v>
      </c>
      <c r="AU3" s="10" t="s">
        <v>19</v>
      </c>
    </row>
    <row r="4" spans="1:47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G4" s="2" t="s">
        <v>8</v>
      </c>
      <c r="H4" s="1">
        <f>SQRT(COUNT(A5:A124))</f>
        <v>10.954451150103322</v>
      </c>
      <c r="J4" s="5">
        <v>5.8</v>
      </c>
      <c r="K4" s="5">
        <v>4</v>
      </c>
      <c r="L4" s="5">
        <v>1.2</v>
      </c>
      <c r="M4" s="5">
        <v>0.2</v>
      </c>
      <c r="N4" s="6" t="s">
        <v>10</v>
      </c>
      <c r="O4" s="5">
        <v>5.6</v>
      </c>
      <c r="P4" s="5">
        <v>3</v>
      </c>
      <c r="Q4" s="5">
        <v>4.5</v>
      </c>
      <c r="R4" s="5">
        <v>1.5</v>
      </c>
      <c r="S4" s="6" t="s">
        <v>10</v>
      </c>
      <c r="T4" s="5">
        <v>6.1</v>
      </c>
      <c r="U4" s="5">
        <v>3</v>
      </c>
      <c r="V4" s="5">
        <v>4.9000000000000004</v>
      </c>
      <c r="W4" s="5">
        <v>1.8</v>
      </c>
      <c r="X4" s="6" t="s">
        <v>10</v>
      </c>
      <c r="Y4" s="8" t="s">
        <v>15</v>
      </c>
      <c r="Z4" t="s">
        <v>19</v>
      </c>
      <c r="AB4" s="10">
        <v>5.0999999999999996</v>
      </c>
      <c r="AC4" s="10">
        <v>3.5</v>
      </c>
      <c r="AD4" s="10">
        <v>1.4</v>
      </c>
      <c r="AE4" s="10">
        <v>0.2</v>
      </c>
      <c r="AF4" s="11" t="s">
        <v>5</v>
      </c>
      <c r="AG4" s="10" t="s">
        <v>16</v>
      </c>
      <c r="AI4" s="10">
        <v>5.2</v>
      </c>
      <c r="AJ4" s="10">
        <v>2.7</v>
      </c>
      <c r="AK4" s="10">
        <v>3.9</v>
      </c>
      <c r="AL4" s="10">
        <v>1.4</v>
      </c>
      <c r="AM4" s="11" t="s">
        <v>6</v>
      </c>
      <c r="AN4" s="10" t="s">
        <v>17</v>
      </c>
      <c r="AP4" s="10">
        <v>6.1</v>
      </c>
      <c r="AQ4" s="10">
        <v>2.9</v>
      </c>
      <c r="AR4" s="10">
        <v>4.7</v>
      </c>
      <c r="AS4" s="10">
        <v>1.4</v>
      </c>
      <c r="AT4" s="11" t="s">
        <v>6</v>
      </c>
      <c r="AU4" s="10" t="s">
        <v>18</v>
      </c>
    </row>
    <row r="5" spans="1:47" x14ac:dyDescent="0.2">
      <c r="A5">
        <v>5.0999999999999996</v>
      </c>
      <c r="B5">
        <v>3.5</v>
      </c>
      <c r="C5">
        <v>1.4</v>
      </c>
      <c r="D5">
        <v>0.2</v>
      </c>
      <c r="E5" s="3" t="s">
        <v>5</v>
      </c>
      <c r="G5" s="2" t="s">
        <v>8</v>
      </c>
      <c r="H5" s="2">
        <v>3</v>
      </c>
      <c r="J5" s="2">
        <f>POWER(J$4-A5,2)</f>
        <v>0.49000000000000027</v>
      </c>
      <c r="K5" s="2">
        <f>POWER(K$4-B5,2)</f>
        <v>0.25</v>
      </c>
      <c r="L5" s="2">
        <f>POWER(L$4-C5,2)</f>
        <v>3.999999999999998E-2</v>
      </c>
      <c r="M5" s="2">
        <f>POWER(M$4-D5,2)</f>
        <v>0</v>
      </c>
      <c r="N5" s="7">
        <f>SQRT(SUM(J5:M5))</f>
        <v>0.8831760866327848</v>
      </c>
      <c r="O5" s="2">
        <f>POWER(O$4-A5,2)</f>
        <v>0.25</v>
      </c>
      <c r="P5" s="2">
        <f>POWER(P$4-B5,2)</f>
        <v>0.25</v>
      </c>
      <c r="Q5" s="2">
        <f>POWER(Q$4-C5,2)</f>
        <v>9.6100000000000012</v>
      </c>
      <c r="R5" s="2">
        <f>POWER(R$4-D5,2)</f>
        <v>1.6900000000000002</v>
      </c>
      <c r="S5" s="7">
        <f>SQRT(SUM(O5:R5))</f>
        <v>3.4351128074635335</v>
      </c>
      <c r="T5" s="2">
        <f>POWER(T$4-A5,2)</f>
        <v>1</v>
      </c>
      <c r="U5" s="2">
        <f>POWER(U$4-B5,2)</f>
        <v>0.25</v>
      </c>
      <c r="V5" s="2">
        <f>POWER(V$4-C5,2)</f>
        <v>12.250000000000004</v>
      </c>
      <c r="W5" s="2">
        <f>POWER(W$4-D5,2)</f>
        <v>2.5600000000000005</v>
      </c>
      <c r="X5" s="7">
        <f>SQRT(SUM(T5:W5))</f>
        <v>4.007492981902776</v>
      </c>
      <c r="Y5" s="9">
        <f>MIN(N5,S5,X5)</f>
        <v>0.8831760866327848</v>
      </c>
      <c r="Z5" t="str">
        <f>IF(Y5=N5,"C1",IF(Y5=S5,"C2",IF(Y5=X5,"C3")))</f>
        <v>C1</v>
      </c>
      <c r="AB5" s="10">
        <v>4.9000000000000004</v>
      </c>
      <c r="AC5" s="10">
        <v>3</v>
      </c>
      <c r="AD5" s="10">
        <v>1.4</v>
      </c>
      <c r="AE5" s="10">
        <v>0.2</v>
      </c>
      <c r="AF5" s="11" t="s">
        <v>5</v>
      </c>
      <c r="AG5" s="10" t="s">
        <v>16</v>
      </c>
      <c r="AI5" s="10">
        <v>5</v>
      </c>
      <c r="AJ5" s="10">
        <v>2</v>
      </c>
      <c r="AK5" s="10">
        <v>3.5</v>
      </c>
      <c r="AL5" s="10">
        <v>1</v>
      </c>
      <c r="AM5" s="11" t="s">
        <v>6</v>
      </c>
      <c r="AN5" s="10" t="s">
        <v>17</v>
      </c>
      <c r="AP5" s="10">
        <v>6.7</v>
      </c>
      <c r="AQ5" s="10">
        <v>3.1</v>
      </c>
      <c r="AR5" s="10">
        <v>4.4000000000000004</v>
      </c>
      <c r="AS5" s="10">
        <v>1.4</v>
      </c>
      <c r="AT5" s="11" t="s">
        <v>6</v>
      </c>
      <c r="AU5" s="10" t="s">
        <v>18</v>
      </c>
    </row>
    <row r="6" spans="1:47" x14ac:dyDescent="0.2">
      <c r="A6">
        <v>4.9000000000000004</v>
      </c>
      <c r="B6">
        <v>3</v>
      </c>
      <c r="C6">
        <v>1.4</v>
      </c>
      <c r="D6">
        <v>0.2</v>
      </c>
      <c r="E6" s="3" t="s">
        <v>5</v>
      </c>
      <c r="J6" s="2">
        <f>POWER(J$4-A6,2)</f>
        <v>0.80999999999999905</v>
      </c>
      <c r="K6" s="2">
        <f>POWER(K$4-B6,2)</f>
        <v>1</v>
      </c>
      <c r="L6" s="2">
        <f>POWER(L$4-C6,2)</f>
        <v>3.999999999999998E-2</v>
      </c>
      <c r="M6" s="2">
        <f>POWER(M$4-D6,2)</f>
        <v>0</v>
      </c>
      <c r="N6" s="7">
        <f t="shared" ref="N6:N69" si="2">SQRT(SUM(J6:M6))</f>
        <v>1.360147050873544</v>
      </c>
      <c r="O6" s="2">
        <f>POWER(O$4-A6,2)</f>
        <v>0.48999999999999899</v>
      </c>
      <c r="P6" s="2">
        <f>POWER(P$4-B6,2)</f>
        <v>0</v>
      </c>
      <c r="Q6" s="2">
        <f>POWER(Q$4-C6,2)</f>
        <v>9.6100000000000012</v>
      </c>
      <c r="R6" s="2">
        <f>POWER(R$4-D6,2)</f>
        <v>1.6900000000000002</v>
      </c>
      <c r="S6" s="7">
        <f t="shared" ref="S6:S69" si="3">SQRT(SUM(O6:R6))</f>
        <v>3.4336569426778789</v>
      </c>
      <c r="T6" s="2">
        <f>POWER(T$4-A6,2)</f>
        <v>1.4399999999999984</v>
      </c>
      <c r="U6" s="2">
        <f>POWER(U$4-B6,2)</f>
        <v>0</v>
      </c>
      <c r="V6" s="2">
        <f>POWER(V$4-C6,2)</f>
        <v>12.250000000000004</v>
      </c>
      <c r="W6" s="2">
        <f>POWER(W$4-D6,2)</f>
        <v>2.5600000000000005</v>
      </c>
      <c r="X6" s="7">
        <f t="shared" ref="X6:X69" si="4">SQRT(SUM(T6:W6))</f>
        <v>4.0311288741492746</v>
      </c>
      <c r="Y6" s="9">
        <f t="shared" ref="Y6:Y69" si="5">MIN(N6,S6,X6)</f>
        <v>1.360147050873544</v>
      </c>
      <c r="Z6" t="str">
        <f t="shared" ref="Z6:Z11" si="6">IF(Y6=N6,"C1",IF(Y6=S6,"C2",IF(Y6=X6,"C3")))</f>
        <v>C1</v>
      </c>
      <c r="AB6" s="10">
        <v>4.7</v>
      </c>
      <c r="AC6" s="10">
        <v>3.2</v>
      </c>
      <c r="AD6" s="10">
        <v>1.3</v>
      </c>
      <c r="AE6" s="10">
        <v>0.2</v>
      </c>
      <c r="AF6" s="11" t="s">
        <v>5</v>
      </c>
      <c r="AG6" s="10" t="s">
        <v>16</v>
      </c>
      <c r="AI6" s="10">
        <v>5.9</v>
      </c>
      <c r="AJ6" s="10">
        <v>3</v>
      </c>
      <c r="AK6" s="10">
        <v>4.2</v>
      </c>
      <c r="AL6" s="10">
        <v>1.5</v>
      </c>
      <c r="AM6" s="11" t="s">
        <v>6</v>
      </c>
      <c r="AN6" s="10" t="s">
        <v>17</v>
      </c>
      <c r="AP6" s="10">
        <v>7</v>
      </c>
      <c r="AQ6" s="10">
        <v>3.2</v>
      </c>
      <c r="AR6" s="10">
        <v>4.7</v>
      </c>
      <c r="AS6" s="10">
        <v>1.4</v>
      </c>
      <c r="AT6" s="11" t="s">
        <v>6</v>
      </c>
      <c r="AU6" s="10" t="s">
        <v>18</v>
      </c>
    </row>
    <row r="7" spans="1:47" x14ac:dyDescent="0.2">
      <c r="A7">
        <v>4.7</v>
      </c>
      <c r="B7">
        <v>3.2</v>
      </c>
      <c r="C7">
        <v>1.3</v>
      </c>
      <c r="D7">
        <v>0.2</v>
      </c>
      <c r="E7" s="3" t="s">
        <v>5</v>
      </c>
      <c r="J7" s="2">
        <f>POWER(J$4-A7,2)</f>
        <v>1.2099999999999993</v>
      </c>
      <c r="K7" s="2">
        <f>POWER(K$4-B7,2)</f>
        <v>0.63999999999999968</v>
      </c>
      <c r="L7" s="2">
        <f>POWER(L$4-C7,2)</f>
        <v>1.0000000000000018E-2</v>
      </c>
      <c r="M7" s="2">
        <f>POWER(M$4-D7,2)</f>
        <v>0</v>
      </c>
      <c r="N7" s="7">
        <f t="shared" si="2"/>
        <v>1.3638181696985852</v>
      </c>
      <c r="O7" s="2">
        <f>POWER(O$4-A7,2)</f>
        <v>0.80999999999999905</v>
      </c>
      <c r="P7" s="2">
        <f>POWER(P$4-B7,2)</f>
        <v>4.000000000000007E-2</v>
      </c>
      <c r="Q7" s="2">
        <f>POWER(Q$4-C7,2)</f>
        <v>10.240000000000002</v>
      </c>
      <c r="R7" s="2">
        <f>POWER(R$4-D7,2)</f>
        <v>1.6900000000000002</v>
      </c>
      <c r="S7" s="7">
        <f t="shared" si="3"/>
        <v>3.5749125863438955</v>
      </c>
      <c r="T7" s="2">
        <f>POWER(T$4-A7,2)</f>
        <v>1.9599999999999984</v>
      </c>
      <c r="U7" s="2">
        <f>POWER(U$4-B7,2)</f>
        <v>4.000000000000007E-2</v>
      </c>
      <c r="V7" s="2">
        <f>POWER(V$4-C7,2)</f>
        <v>12.960000000000004</v>
      </c>
      <c r="W7" s="2">
        <f>POWER(W$4-D7,2)</f>
        <v>2.5600000000000005</v>
      </c>
      <c r="X7" s="7">
        <f t="shared" si="4"/>
        <v>4.1856899072912706</v>
      </c>
      <c r="Y7" s="9">
        <f t="shared" si="5"/>
        <v>1.3638181696985852</v>
      </c>
      <c r="Z7" t="str">
        <f t="shared" si="6"/>
        <v>C1</v>
      </c>
      <c r="AB7" s="10">
        <v>4.5999999999999996</v>
      </c>
      <c r="AC7" s="10">
        <v>3.1</v>
      </c>
      <c r="AD7" s="10">
        <v>1.5</v>
      </c>
      <c r="AE7" s="10">
        <v>0.2</v>
      </c>
      <c r="AF7" s="11" t="s">
        <v>5</v>
      </c>
      <c r="AG7" s="10" t="s">
        <v>16</v>
      </c>
      <c r="AI7" s="10">
        <v>6</v>
      </c>
      <c r="AJ7" s="10">
        <v>2.2000000000000002</v>
      </c>
      <c r="AK7" s="10">
        <v>4</v>
      </c>
      <c r="AL7" s="10">
        <v>1</v>
      </c>
      <c r="AM7" s="11" t="s">
        <v>6</v>
      </c>
      <c r="AN7" s="10" t="s">
        <v>17</v>
      </c>
      <c r="AP7" s="10">
        <v>6.4</v>
      </c>
      <c r="AQ7" s="10">
        <v>3.2</v>
      </c>
      <c r="AR7" s="10">
        <v>4.5</v>
      </c>
      <c r="AS7" s="10">
        <v>1.5</v>
      </c>
      <c r="AT7" s="11" t="s">
        <v>6</v>
      </c>
      <c r="AU7" s="10" t="s">
        <v>18</v>
      </c>
    </row>
    <row r="8" spans="1:47" x14ac:dyDescent="0.2">
      <c r="A8">
        <v>4.5999999999999996</v>
      </c>
      <c r="B8">
        <v>3.1</v>
      </c>
      <c r="C8">
        <v>1.5</v>
      </c>
      <c r="D8">
        <v>0.2</v>
      </c>
      <c r="E8" s="3" t="s">
        <v>5</v>
      </c>
      <c r="J8" s="2">
        <f>POWER(J$4-A8,2)</f>
        <v>1.4400000000000004</v>
      </c>
      <c r="K8" s="2">
        <f>POWER(K$4-B8,2)</f>
        <v>0.80999999999999983</v>
      </c>
      <c r="L8" s="2">
        <f>POWER(L$4-C8,2)</f>
        <v>9.0000000000000024E-2</v>
      </c>
      <c r="M8" s="2">
        <f>POWER(M$4-D8,2)</f>
        <v>0</v>
      </c>
      <c r="N8" s="7">
        <f t="shared" si="2"/>
        <v>1.5297058540778354</v>
      </c>
      <c r="O8" s="2">
        <f>POWER(O$4-A8,2)</f>
        <v>1</v>
      </c>
      <c r="P8" s="2">
        <f>POWER(P$4-B8,2)</f>
        <v>1.0000000000000018E-2</v>
      </c>
      <c r="Q8" s="2">
        <f>POWER(Q$4-C8,2)</f>
        <v>9</v>
      </c>
      <c r="R8" s="2">
        <f>POWER(R$4-D8,2)</f>
        <v>1.6900000000000002</v>
      </c>
      <c r="S8" s="7">
        <f t="shared" si="3"/>
        <v>3.4205262752974139</v>
      </c>
      <c r="T8" s="2">
        <f>POWER(T$4-A8,2)</f>
        <v>2.25</v>
      </c>
      <c r="U8" s="2">
        <f>POWER(U$4-B8,2)</f>
        <v>1.0000000000000018E-2</v>
      </c>
      <c r="V8" s="2">
        <f>POWER(V$4-C8,2)</f>
        <v>11.560000000000002</v>
      </c>
      <c r="W8" s="2">
        <f>POWER(W$4-D8,2)</f>
        <v>2.5600000000000005</v>
      </c>
      <c r="X8" s="7">
        <f t="shared" si="4"/>
        <v>4.0472212689696123</v>
      </c>
      <c r="Y8" s="9">
        <f t="shared" si="5"/>
        <v>1.5297058540778354</v>
      </c>
      <c r="Z8" t="str">
        <f t="shared" si="6"/>
        <v>C1</v>
      </c>
      <c r="AB8" s="10">
        <v>5</v>
      </c>
      <c r="AC8" s="10">
        <v>3.6</v>
      </c>
      <c r="AD8" s="10">
        <v>1.4</v>
      </c>
      <c r="AE8" s="10">
        <v>0.2</v>
      </c>
      <c r="AF8" s="11" t="s">
        <v>5</v>
      </c>
      <c r="AG8" s="10" t="s">
        <v>16</v>
      </c>
      <c r="AI8" s="10">
        <v>5.6</v>
      </c>
      <c r="AJ8" s="10">
        <v>2.9</v>
      </c>
      <c r="AK8" s="10">
        <v>3.6</v>
      </c>
      <c r="AL8" s="10">
        <v>1.3</v>
      </c>
      <c r="AM8" s="11" t="s">
        <v>6</v>
      </c>
      <c r="AN8" s="10" t="s">
        <v>17</v>
      </c>
      <c r="AP8" s="10">
        <v>6.9</v>
      </c>
      <c r="AQ8" s="10">
        <v>3.1</v>
      </c>
      <c r="AR8" s="10">
        <v>4.9000000000000004</v>
      </c>
      <c r="AS8" s="10">
        <v>1.5</v>
      </c>
      <c r="AT8" s="11" t="s">
        <v>6</v>
      </c>
      <c r="AU8" s="10" t="s">
        <v>18</v>
      </c>
    </row>
    <row r="9" spans="1:47" x14ac:dyDescent="0.2">
      <c r="A9">
        <v>5</v>
      </c>
      <c r="B9">
        <v>3.6</v>
      </c>
      <c r="C9">
        <v>1.4</v>
      </c>
      <c r="D9">
        <v>0.2</v>
      </c>
      <c r="E9" s="3" t="s">
        <v>5</v>
      </c>
      <c r="J9" s="2">
        <f>POWER(J$4-A9,2)</f>
        <v>0.63999999999999968</v>
      </c>
      <c r="K9" s="2">
        <f>POWER(K$4-B9,2)</f>
        <v>0.15999999999999992</v>
      </c>
      <c r="L9" s="2">
        <f>POWER(L$4-C9,2)</f>
        <v>3.999999999999998E-2</v>
      </c>
      <c r="M9" s="2">
        <f>POWER(M$4-D9,2)</f>
        <v>0</v>
      </c>
      <c r="N9" s="7">
        <f t="shared" si="2"/>
        <v>0.91651513899116777</v>
      </c>
      <c r="O9" s="2">
        <f>POWER(O$4-A9,2)</f>
        <v>0.3599999999999996</v>
      </c>
      <c r="P9" s="2">
        <f>POWER(P$4-B9,2)</f>
        <v>0.3600000000000001</v>
      </c>
      <c r="Q9" s="2">
        <f>POWER(Q$4-C9,2)</f>
        <v>9.6100000000000012</v>
      </c>
      <c r="R9" s="2">
        <f>POWER(R$4-D9,2)</f>
        <v>1.6900000000000002</v>
      </c>
      <c r="S9" s="7">
        <f t="shared" si="3"/>
        <v>3.4669871646719432</v>
      </c>
      <c r="T9" s="2">
        <f>POWER(T$4-A9,2)</f>
        <v>1.2099999999999993</v>
      </c>
      <c r="U9" s="2">
        <f>POWER(U$4-B9,2)</f>
        <v>0.3600000000000001</v>
      </c>
      <c r="V9" s="2">
        <f>POWER(V$4-C9,2)</f>
        <v>12.250000000000004</v>
      </c>
      <c r="W9" s="2">
        <f>POWER(W$4-D9,2)</f>
        <v>2.5600000000000005</v>
      </c>
      <c r="X9" s="7">
        <f t="shared" si="4"/>
        <v>4.0472212689696123</v>
      </c>
      <c r="Y9" s="9">
        <f t="shared" si="5"/>
        <v>0.91651513899116777</v>
      </c>
      <c r="Z9" t="str">
        <f t="shared" si="6"/>
        <v>C1</v>
      </c>
      <c r="AB9" s="10">
        <v>5.4</v>
      </c>
      <c r="AC9" s="10">
        <v>3.9</v>
      </c>
      <c r="AD9" s="10">
        <v>1.7</v>
      </c>
      <c r="AE9" s="10">
        <v>0.4</v>
      </c>
      <c r="AF9" s="11" t="s">
        <v>5</v>
      </c>
      <c r="AG9" s="10" t="s">
        <v>16</v>
      </c>
      <c r="AI9" s="10">
        <v>5.5</v>
      </c>
      <c r="AJ9" s="10">
        <v>2.2999999999999998</v>
      </c>
      <c r="AK9" s="10">
        <v>4</v>
      </c>
      <c r="AL9" s="10">
        <v>1.3</v>
      </c>
      <c r="AM9" s="11" t="s">
        <v>6</v>
      </c>
      <c r="AN9" s="10" t="s">
        <v>17</v>
      </c>
      <c r="AP9" s="10">
        <v>6.5</v>
      </c>
      <c r="AQ9" s="10">
        <v>2.8</v>
      </c>
      <c r="AR9" s="10">
        <v>4.5999999999999996</v>
      </c>
      <c r="AS9" s="10">
        <v>1.5</v>
      </c>
      <c r="AT9" s="11" t="s">
        <v>6</v>
      </c>
      <c r="AU9" s="10" t="s">
        <v>18</v>
      </c>
    </row>
    <row r="10" spans="1:47" x14ac:dyDescent="0.2">
      <c r="A10">
        <v>5.4</v>
      </c>
      <c r="B10">
        <v>3.9</v>
      </c>
      <c r="C10">
        <v>1.7</v>
      </c>
      <c r="D10">
        <v>0.4</v>
      </c>
      <c r="E10" s="3" t="s">
        <v>5</v>
      </c>
      <c r="G10" t="s">
        <v>9</v>
      </c>
      <c r="J10" s="2">
        <f>POWER(J$4-A10,2)</f>
        <v>0.15999999999999959</v>
      </c>
      <c r="K10" s="2">
        <f>POWER(K$4-B10,2)</f>
        <v>1.0000000000000018E-2</v>
      </c>
      <c r="L10" s="2">
        <f>POWER(L$4-C10,2)</f>
        <v>0.25</v>
      </c>
      <c r="M10" s="2">
        <f>POWER(M$4-D10,2)</f>
        <v>4.0000000000000008E-2</v>
      </c>
      <c r="N10" s="7">
        <f t="shared" si="2"/>
        <v>0.67823299831252659</v>
      </c>
      <c r="O10" s="2">
        <f>POWER(O$4-A10,2)</f>
        <v>3.9999999999999716E-2</v>
      </c>
      <c r="P10" s="2">
        <f>POWER(P$4-B10,2)</f>
        <v>0.80999999999999983</v>
      </c>
      <c r="Q10" s="2">
        <f>POWER(Q$4-C10,2)</f>
        <v>7.839999999999999</v>
      </c>
      <c r="R10" s="2">
        <f>POWER(R$4-D10,2)</f>
        <v>1.2100000000000002</v>
      </c>
      <c r="S10" s="7">
        <f t="shared" si="3"/>
        <v>3.1464265445104544</v>
      </c>
      <c r="T10" s="2">
        <f>POWER(T$4-A10,2)</f>
        <v>0.48999999999999899</v>
      </c>
      <c r="U10" s="2">
        <f>POWER(U$4-B10,2)</f>
        <v>0.80999999999999983</v>
      </c>
      <c r="V10" s="2">
        <f>POWER(V$4-C10,2)</f>
        <v>10.240000000000002</v>
      </c>
      <c r="W10" s="2">
        <f>POWER(W$4-D10,2)</f>
        <v>1.9599999999999997</v>
      </c>
      <c r="X10" s="7">
        <f t="shared" si="4"/>
        <v>3.6742346141747673</v>
      </c>
      <c r="Y10" s="9">
        <f t="shared" si="5"/>
        <v>0.67823299831252659</v>
      </c>
      <c r="Z10" t="str">
        <f t="shared" si="6"/>
        <v>C1</v>
      </c>
      <c r="AB10" s="10">
        <v>4.5999999999999996</v>
      </c>
      <c r="AC10" s="10">
        <v>3.4</v>
      </c>
      <c r="AD10" s="10">
        <v>1.4</v>
      </c>
      <c r="AE10" s="10">
        <v>0.3</v>
      </c>
      <c r="AF10" s="11" t="s">
        <v>5</v>
      </c>
      <c r="AG10" s="10" t="s">
        <v>16</v>
      </c>
      <c r="AI10" s="10">
        <v>5.7</v>
      </c>
      <c r="AJ10" s="10">
        <v>2.8</v>
      </c>
      <c r="AK10" s="10">
        <v>4.5</v>
      </c>
      <c r="AL10" s="10">
        <v>1.3</v>
      </c>
      <c r="AM10" s="11" t="s">
        <v>6</v>
      </c>
      <c r="AN10" s="10" t="s">
        <v>17</v>
      </c>
      <c r="AP10" s="10">
        <v>6.3</v>
      </c>
      <c r="AQ10" s="10">
        <v>3.3</v>
      </c>
      <c r="AR10" s="10">
        <v>4.7</v>
      </c>
      <c r="AS10" s="10">
        <v>1.6</v>
      </c>
      <c r="AT10" s="11" t="s">
        <v>6</v>
      </c>
      <c r="AU10" s="10" t="s">
        <v>18</v>
      </c>
    </row>
    <row r="11" spans="1:47" x14ac:dyDescent="0.2">
      <c r="A11">
        <v>4.5999999999999996</v>
      </c>
      <c r="B11">
        <v>3.4</v>
      </c>
      <c r="C11">
        <v>1.4</v>
      </c>
      <c r="D11">
        <v>0.3</v>
      </c>
      <c r="E11" s="3" t="s">
        <v>5</v>
      </c>
      <c r="J11" s="2">
        <f>POWER(J$4-A11,2)</f>
        <v>1.4400000000000004</v>
      </c>
      <c r="K11" s="2">
        <f>POWER(K$4-B11,2)</f>
        <v>0.3600000000000001</v>
      </c>
      <c r="L11" s="2">
        <f>POWER(L$4-C11,2)</f>
        <v>3.999999999999998E-2</v>
      </c>
      <c r="M11" s="2">
        <f>POWER(M$4-D11,2)</f>
        <v>9.999999999999995E-3</v>
      </c>
      <c r="N11" s="7">
        <f t="shared" si="2"/>
        <v>1.3601470508735445</v>
      </c>
      <c r="O11" s="2">
        <f>POWER(O$4-A11,2)</f>
        <v>1</v>
      </c>
      <c r="P11" s="2">
        <f>POWER(P$4-B11,2)</f>
        <v>0.15999999999999992</v>
      </c>
      <c r="Q11" s="2">
        <f>POWER(Q$4-C11,2)</f>
        <v>9.6100000000000012</v>
      </c>
      <c r="R11" s="2">
        <f>POWER(R$4-D11,2)</f>
        <v>1.44</v>
      </c>
      <c r="S11" s="7">
        <f t="shared" si="3"/>
        <v>3.4942810419312296</v>
      </c>
      <c r="T11" s="2">
        <f>POWER(T$4-A11,2)</f>
        <v>2.25</v>
      </c>
      <c r="U11" s="2">
        <f>POWER(U$4-B11,2)</f>
        <v>0.15999999999999992</v>
      </c>
      <c r="V11" s="2">
        <f>POWER(V$4-C11,2)</f>
        <v>12.250000000000004</v>
      </c>
      <c r="W11" s="2">
        <f>POWER(W$4-D11,2)</f>
        <v>2.25</v>
      </c>
      <c r="X11" s="7">
        <f t="shared" si="4"/>
        <v>4.112177038990418</v>
      </c>
      <c r="Y11" s="9">
        <f t="shared" si="5"/>
        <v>1.3601470508735445</v>
      </c>
      <c r="Z11" t="str">
        <f t="shared" si="6"/>
        <v>C1</v>
      </c>
      <c r="AB11" s="10">
        <v>5.8</v>
      </c>
      <c r="AC11" s="10">
        <v>4</v>
      </c>
      <c r="AD11" s="10">
        <v>1.2</v>
      </c>
      <c r="AE11" s="10">
        <v>0.2</v>
      </c>
      <c r="AF11" s="11" t="s">
        <v>5</v>
      </c>
      <c r="AG11" s="10" t="s">
        <v>16</v>
      </c>
      <c r="AI11" s="10">
        <v>4.9000000000000004</v>
      </c>
      <c r="AJ11" s="10">
        <v>2.4</v>
      </c>
      <c r="AK11" s="10">
        <v>3.3</v>
      </c>
      <c r="AL11" s="10">
        <v>1</v>
      </c>
      <c r="AM11" s="11" t="s">
        <v>6</v>
      </c>
      <c r="AN11" s="10" t="s">
        <v>17</v>
      </c>
      <c r="AP11" s="10">
        <v>6.6</v>
      </c>
      <c r="AQ11" s="10">
        <v>2.9</v>
      </c>
      <c r="AR11" s="10">
        <v>4.5999999999999996</v>
      </c>
      <c r="AS11" s="10">
        <v>1.3</v>
      </c>
      <c r="AT11" s="11" t="s">
        <v>6</v>
      </c>
      <c r="AU11" s="10" t="s">
        <v>18</v>
      </c>
    </row>
    <row r="12" spans="1:47" x14ac:dyDescent="0.2">
      <c r="A12">
        <v>5.2</v>
      </c>
      <c r="B12">
        <v>2.7</v>
      </c>
      <c r="C12">
        <v>3.9</v>
      </c>
      <c r="D12">
        <v>1.4</v>
      </c>
      <c r="E12" s="3" t="s">
        <v>6</v>
      </c>
      <c r="J12" s="2">
        <f>POWER(J$4-A12,2)</f>
        <v>0.3599999999999996</v>
      </c>
      <c r="K12" s="2">
        <f>POWER(K$4-B12,2)</f>
        <v>1.6899999999999995</v>
      </c>
      <c r="L12" s="2">
        <f>POWER(L$4-C12,2)</f>
        <v>7.2900000000000009</v>
      </c>
      <c r="M12" s="2">
        <f>POWER(M$4-D12,2)</f>
        <v>1.44</v>
      </c>
      <c r="N12" s="7">
        <f t="shared" si="2"/>
        <v>3.2832910318764008</v>
      </c>
      <c r="O12" s="2">
        <f>POWER(O$4-A12,2)</f>
        <v>0.15999999999999959</v>
      </c>
      <c r="P12" s="2">
        <f>POWER(P$4-B12,2)</f>
        <v>8.99999999999999E-2</v>
      </c>
      <c r="Q12" s="2">
        <f>POWER(Q$4-C12,2)</f>
        <v>0.3600000000000001</v>
      </c>
      <c r="R12" s="2">
        <f>POWER(R$4-D12,2)</f>
        <v>1.0000000000000018E-2</v>
      </c>
      <c r="S12" s="7">
        <f t="shared" si="3"/>
        <v>0.78740078740118091</v>
      </c>
      <c r="T12" s="2">
        <f>POWER(T$4-A12,2)</f>
        <v>0.80999999999999905</v>
      </c>
      <c r="U12" s="2">
        <f>POWER(U$4-B12,2)</f>
        <v>8.99999999999999E-2</v>
      </c>
      <c r="V12" s="2">
        <f>POWER(V$4-C12,2)</f>
        <v>1.0000000000000009</v>
      </c>
      <c r="W12" s="2">
        <f>POWER(W$4-D12,2)</f>
        <v>0.16000000000000011</v>
      </c>
      <c r="X12" s="7">
        <f t="shared" si="4"/>
        <v>1.4352700094407325</v>
      </c>
      <c r="Y12" s="9">
        <f t="shared" si="5"/>
        <v>0.78740078740118091</v>
      </c>
      <c r="Z12" t="str">
        <f>IF(Y12=N12,"C1",IF(Y12=S12,"C2",IF(Y12=X12,"C3")))</f>
        <v>C2</v>
      </c>
      <c r="AB12" s="10">
        <v>5.7</v>
      </c>
      <c r="AC12" s="10">
        <v>4.4000000000000004</v>
      </c>
      <c r="AD12" s="10">
        <v>1.5</v>
      </c>
      <c r="AE12" s="10">
        <v>0.4</v>
      </c>
      <c r="AF12" s="11" t="s">
        <v>5</v>
      </c>
      <c r="AG12" s="10" t="s">
        <v>16</v>
      </c>
      <c r="AI12" s="10">
        <v>4.9000000000000004</v>
      </c>
      <c r="AJ12" s="10">
        <v>2.5</v>
      </c>
      <c r="AK12" s="10">
        <v>4.5</v>
      </c>
      <c r="AL12" s="10">
        <v>1.7</v>
      </c>
      <c r="AM12" s="11" t="s">
        <v>7</v>
      </c>
      <c r="AN12" s="10" t="s">
        <v>17</v>
      </c>
      <c r="AP12" s="10">
        <v>7.3</v>
      </c>
      <c r="AQ12" s="10">
        <v>2.9</v>
      </c>
      <c r="AR12" s="10">
        <v>6.3</v>
      </c>
      <c r="AS12" s="10">
        <v>1.8</v>
      </c>
      <c r="AT12" s="11" t="s">
        <v>7</v>
      </c>
      <c r="AU12" s="10" t="s">
        <v>18</v>
      </c>
    </row>
    <row r="13" spans="1:47" x14ac:dyDescent="0.2">
      <c r="A13">
        <v>5</v>
      </c>
      <c r="B13">
        <v>2</v>
      </c>
      <c r="C13">
        <v>3.5</v>
      </c>
      <c r="D13">
        <v>1</v>
      </c>
      <c r="E13" s="3" t="s">
        <v>6</v>
      </c>
      <c r="J13" s="2">
        <f>POWER(J$4-A13,2)</f>
        <v>0.63999999999999968</v>
      </c>
      <c r="K13" s="2">
        <f>POWER(K$4-B13,2)</f>
        <v>4</v>
      </c>
      <c r="L13" s="2">
        <f>POWER(L$4-C13,2)</f>
        <v>5.2899999999999991</v>
      </c>
      <c r="M13" s="2">
        <f>POWER(M$4-D13,2)</f>
        <v>0.64000000000000012</v>
      </c>
      <c r="N13" s="7">
        <f t="shared" si="2"/>
        <v>3.2511536414017717</v>
      </c>
      <c r="O13" s="2">
        <f>POWER(O$4-A13,2)</f>
        <v>0.3599999999999996</v>
      </c>
      <c r="P13" s="2">
        <f>POWER(P$4-B13,2)</f>
        <v>1</v>
      </c>
      <c r="Q13" s="2">
        <f>POWER(Q$4-C13,2)</f>
        <v>1</v>
      </c>
      <c r="R13" s="2">
        <f>POWER(R$4-D13,2)</f>
        <v>0.25</v>
      </c>
      <c r="S13" s="7">
        <f t="shared" si="3"/>
        <v>1.6155494421403511</v>
      </c>
      <c r="T13" s="2">
        <f>POWER(T$4-A13,2)</f>
        <v>1.2099999999999993</v>
      </c>
      <c r="U13" s="2">
        <f>POWER(U$4-B13,2)</f>
        <v>1</v>
      </c>
      <c r="V13" s="2">
        <f>POWER(V$4-C13,2)</f>
        <v>1.9600000000000011</v>
      </c>
      <c r="W13" s="2">
        <f>POWER(W$4-D13,2)</f>
        <v>0.64000000000000012</v>
      </c>
      <c r="X13" s="7">
        <f t="shared" si="4"/>
        <v>2.1931712199461311</v>
      </c>
      <c r="Y13" s="9">
        <f t="shared" si="5"/>
        <v>1.6155494421403511</v>
      </c>
      <c r="Z13" t="str">
        <f>IF(Y13=N13,"C1",IF(Y13=S13,"C2",IF(Y13=X13,"C3")))</f>
        <v>C2</v>
      </c>
      <c r="AB13" s="10">
        <v>5.4</v>
      </c>
      <c r="AC13" s="10">
        <v>3.9</v>
      </c>
      <c r="AD13" s="10">
        <v>1.3</v>
      </c>
      <c r="AE13" s="10">
        <v>0.4</v>
      </c>
      <c r="AF13" s="11" t="s">
        <v>5</v>
      </c>
      <c r="AG13" s="10" t="s">
        <v>16</v>
      </c>
      <c r="AI13" s="10">
        <v>5.6</v>
      </c>
      <c r="AJ13" s="10">
        <v>3</v>
      </c>
      <c r="AK13" s="10">
        <v>4.5</v>
      </c>
      <c r="AL13" s="10">
        <v>1.5</v>
      </c>
      <c r="AM13" s="11" t="s">
        <v>6</v>
      </c>
      <c r="AN13" s="10" t="s">
        <v>17</v>
      </c>
      <c r="AP13" s="10">
        <v>6.7</v>
      </c>
      <c r="AQ13" s="10">
        <v>2.5</v>
      </c>
      <c r="AR13" s="10">
        <v>5.8</v>
      </c>
      <c r="AS13" s="10">
        <v>1.8</v>
      </c>
      <c r="AT13" s="11" t="s">
        <v>7</v>
      </c>
      <c r="AU13" s="10" t="s">
        <v>18</v>
      </c>
    </row>
    <row r="14" spans="1:47" x14ac:dyDescent="0.2">
      <c r="A14">
        <v>5.9</v>
      </c>
      <c r="B14">
        <v>3</v>
      </c>
      <c r="C14">
        <v>4.2</v>
      </c>
      <c r="D14">
        <v>1.5</v>
      </c>
      <c r="E14" s="3" t="s">
        <v>6</v>
      </c>
      <c r="J14" s="2">
        <f>POWER(J$4-A14,2)</f>
        <v>1.0000000000000106E-2</v>
      </c>
      <c r="K14" s="2">
        <f>POWER(K$4-B14,2)</f>
        <v>1</v>
      </c>
      <c r="L14" s="2">
        <f>POWER(L$4-C14,2)</f>
        <v>9</v>
      </c>
      <c r="M14" s="2">
        <f>POWER(M$4-D14,2)</f>
        <v>1.6900000000000002</v>
      </c>
      <c r="N14" s="7">
        <f t="shared" si="2"/>
        <v>3.4205262752974139</v>
      </c>
      <c r="O14" s="2">
        <f>POWER(O$4-A14,2)</f>
        <v>9.0000000000000427E-2</v>
      </c>
      <c r="P14" s="2">
        <f>POWER(P$4-B14,2)</f>
        <v>0</v>
      </c>
      <c r="Q14" s="2">
        <f>POWER(Q$4-C14,2)</f>
        <v>8.99999999999999E-2</v>
      </c>
      <c r="R14" s="2">
        <f>POWER(R$4-D14,2)</f>
        <v>0</v>
      </c>
      <c r="S14" s="7">
        <f t="shared" si="3"/>
        <v>0.4242640687119289</v>
      </c>
      <c r="T14" s="2">
        <f>POWER(T$4-A14,2)</f>
        <v>3.9999999999999716E-2</v>
      </c>
      <c r="U14" s="2">
        <f>POWER(U$4-B14,2)</f>
        <v>0</v>
      </c>
      <c r="V14" s="2">
        <f>POWER(V$4-C14,2)</f>
        <v>0.49000000000000027</v>
      </c>
      <c r="W14" s="2">
        <f>POWER(W$4-D14,2)</f>
        <v>9.0000000000000024E-2</v>
      </c>
      <c r="X14" s="7">
        <f t="shared" si="4"/>
        <v>0.78740078740118113</v>
      </c>
      <c r="Y14" s="9">
        <f t="shared" si="5"/>
        <v>0.4242640687119289</v>
      </c>
      <c r="Z14" t="str">
        <f>IF(Y14=N14,"C1",IF(Y14=S14,"C2",IF(Y14=X14,"C3")))</f>
        <v>C2</v>
      </c>
      <c r="AB14" s="10">
        <v>5.0999999999999996</v>
      </c>
      <c r="AC14" s="10">
        <v>3.5</v>
      </c>
      <c r="AD14" s="10">
        <v>1.4</v>
      </c>
      <c r="AE14" s="10">
        <v>0.3</v>
      </c>
      <c r="AF14" s="11" t="s">
        <v>5</v>
      </c>
      <c r="AG14" s="10" t="s">
        <v>16</v>
      </c>
      <c r="AI14" s="10">
        <v>5.8</v>
      </c>
      <c r="AJ14" s="10">
        <v>2.7</v>
      </c>
      <c r="AK14" s="10">
        <v>4.0999999999999996</v>
      </c>
      <c r="AL14" s="10">
        <v>1</v>
      </c>
      <c r="AM14" s="11" t="s">
        <v>6</v>
      </c>
      <c r="AN14" s="10" t="s">
        <v>17</v>
      </c>
      <c r="AP14" s="10">
        <v>7.2</v>
      </c>
      <c r="AQ14" s="10">
        <v>3.6</v>
      </c>
      <c r="AR14" s="10">
        <v>6.1</v>
      </c>
      <c r="AS14" s="10">
        <v>2.5</v>
      </c>
      <c r="AT14" s="11" t="s">
        <v>7</v>
      </c>
      <c r="AU14" s="10" t="s">
        <v>18</v>
      </c>
    </row>
    <row r="15" spans="1:47" x14ac:dyDescent="0.2">
      <c r="A15">
        <v>6</v>
      </c>
      <c r="B15">
        <v>2.2000000000000002</v>
      </c>
      <c r="C15">
        <v>4</v>
      </c>
      <c r="D15">
        <v>1</v>
      </c>
      <c r="E15" s="3" t="s">
        <v>6</v>
      </c>
      <c r="J15" s="2">
        <f>POWER(J$4-A15,2)</f>
        <v>4.000000000000007E-2</v>
      </c>
      <c r="K15" s="2">
        <f>POWER(K$4-B15,2)</f>
        <v>3.2399999999999993</v>
      </c>
      <c r="L15" s="2">
        <f>POWER(L$4-C15,2)</f>
        <v>7.839999999999999</v>
      </c>
      <c r="M15" s="2">
        <f>POWER(M$4-D15,2)</f>
        <v>0.64000000000000012</v>
      </c>
      <c r="N15" s="7">
        <f t="shared" si="2"/>
        <v>3.4292856398964489</v>
      </c>
      <c r="O15" s="2">
        <f>POWER(O$4-A15,2)</f>
        <v>0.16000000000000028</v>
      </c>
      <c r="P15" s="2">
        <f>POWER(P$4-B15,2)</f>
        <v>0.63999999999999968</v>
      </c>
      <c r="Q15" s="2">
        <f>POWER(Q$4-C15,2)</f>
        <v>0.25</v>
      </c>
      <c r="R15" s="2">
        <f>POWER(R$4-D15,2)</f>
        <v>0.25</v>
      </c>
      <c r="S15" s="7">
        <f t="shared" si="3"/>
        <v>1.1401754250991378</v>
      </c>
      <c r="T15" s="2">
        <f>POWER(T$4-A15,2)</f>
        <v>9.9999999999999291E-3</v>
      </c>
      <c r="U15" s="2">
        <f>POWER(U$4-B15,2)</f>
        <v>0.63999999999999968</v>
      </c>
      <c r="V15" s="2">
        <f>POWER(V$4-C15,2)</f>
        <v>0.81000000000000061</v>
      </c>
      <c r="W15" s="2">
        <f>POWER(W$4-D15,2)</f>
        <v>0.64000000000000012</v>
      </c>
      <c r="X15" s="7">
        <f t="shared" si="4"/>
        <v>1.4491376746189439</v>
      </c>
      <c r="Y15" s="9">
        <f t="shared" si="5"/>
        <v>1.1401754250991378</v>
      </c>
      <c r="Z15" t="str">
        <f>IF(Y15=N15,"C1",IF(Y15=S15,"C2",IF(Y15=X15,"C3")))</f>
        <v>C2</v>
      </c>
      <c r="AB15" s="10">
        <v>5.7</v>
      </c>
      <c r="AC15" s="10">
        <v>3.8</v>
      </c>
      <c r="AD15" s="10">
        <v>1.7</v>
      </c>
      <c r="AE15" s="10">
        <v>0.3</v>
      </c>
      <c r="AF15" s="11" t="s">
        <v>5</v>
      </c>
      <c r="AG15" s="10" t="s">
        <v>16</v>
      </c>
      <c r="AI15" s="10">
        <v>5.6</v>
      </c>
      <c r="AJ15" s="10">
        <v>2.5</v>
      </c>
      <c r="AK15" s="10">
        <v>3.9</v>
      </c>
      <c r="AL15" s="10">
        <v>1.1000000000000001</v>
      </c>
      <c r="AM15" s="11" t="s">
        <v>6</v>
      </c>
      <c r="AN15" s="10" t="s">
        <v>17</v>
      </c>
      <c r="AP15" s="10">
        <v>6.5</v>
      </c>
      <c r="AQ15" s="10">
        <v>3.2</v>
      </c>
      <c r="AR15" s="10">
        <v>5.0999999999999996</v>
      </c>
      <c r="AS15" s="10">
        <v>2</v>
      </c>
      <c r="AT15" s="11" t="s">
        <v>7</v>
      </c>
      <c r="AU15" s="10" t="s">
        <v>18</v>
      </c>
    </row>
    <row r="16" spans="1:47" x14ac:dyDescent="0.2">
      <c r="A16">
        <v>6.1</v>
      </c>
      <c r="B16">
        <v>2.9</v>
      </c>
      <c r="C16">
        <v>4.7</v>
      </c>
      <c r="D16">
        <v>1.4</v>
      </c>
      <c r="E16" s="3" t="s">
        <v>6</v>
      </c>
      <c r="J16" s="2">
        <f>POWER(J$4-A16,2)</f>
        <v>8.99999999999999E-2</v>
      </c>
      <c r="K16" s="2">
        <f>POWER(K$4-B16,2)</f>
        <v>1.2100000000000002</v>
      </c>
      <c r="L16" s="2">
        <f>POWER(L$4-C16,2)</f>
        <v>12.25</v>
      </c>
      <c r="M16" s="2">
        <f>POWER(M$4-D16,2)</f>
        <v>1.44</v>
      </c>
      <c r="N16" s="7">
        <f t="shared" si="2"/>
        <v>3.871692136521188</v>
      </c>
      <c r="O16" s="2">
        <f>POWER(O$4-A16,2)</f>
        <v>0.25</v>
      </c>
      <c r="P16" s="2">
        <f>POWER(P$4-B16,2)</f>
        <v>1.0000000000000018E-2</v>
      </c>
      <c r="Q16" s="2">
        <f>POWER(Q$4-C16,2)</f>
        <v>4.000000000000007E-2</v>
      </c>
      <c r="R16" s="2">
        <f>POWER(R$4-D16,2)</f>
        <v>1.0000000000000018E-2</v>
      </c>
      <c r="S16" s="7">
        <f t="shared" si="3"/>
        <v>0.55677643628300233</v>
      </c>
      <c r="T16" s="2">
        <f>POWER(T$4-A16,2)</f>
        <v>0</v>
      </c>
      <c r="U16" s="2">
        <f>POWER(U$4-B16,2)</f>
        <v>1.0000000000000018E-2</v>
      </c>
      <c r="V16" s="2">
        <f>POWER(V$4-C16,2)</f>
        <v>4.000000000000007E-2</v>
      </c>
      <c r="W16" s="2">
        <f>POWER(W$4-D16,2)</f>
        <v>0.16000000000000011</v>
      </c>
      <c r="X16" s="7">
        <f t="shared" si="4"/>
        <v>0.45825756949558422</v>
      </c>
      <c r="Y16" s="9">
        <f t="shared" si="5"/>
        <v>0.45825756949558422</v>
      </c>
      <c r="Z16" t="str">
        <f>IF(Y16=N16,"C1",IF(Y16=S16,"C2",IF(Y16=X16,"C3")))</f>
        <v>C3</v>
      </c>
      <c r="AB16" s="10">
        <v>5.0999999999999996</v>
      </c>
      <c r="AC16" s="10">
        <v>3.8</v>
      </c>
      <c r="AD16" s="10">
        <v>1.5</v>
      </c>
      <c r="AE16" s="10">
        <v>0.3</v>
      </c>
      <c r="AF16" s="11" t="s">
        <v>5</v>
      </c>
      <c r="AG16" s="10" t="s">
        <v>16</v>
      </c>
      <c r="AI16" s="10">
        <v>6.1</v>
      </c>
      <c r="AJ16" s="10">
        <v>2.8</v>
      </c>
      <c r="AK16" s="10">
        <v>4</v>
      </c>
      <c r="AL16" s="10">
        <v>1.3</v>
      </c>
      <c r="AM16" s="11" t="s">
        <v>6</v>
      </c>
      <c r="AN16" s="10" t="s">
        <v>17</v>
      </c>
      <c r="AP16" s="10">
        <v>6.4</v>
      </c>
      <c r="AQ16" s="10">
        <v>2.7</v>
      </c>
      <c r="AR16" s="10">
        <v>5.3</v>
      </c>
      <c r="AS16" s="10">
        <v>1.9</v>
      </c>
      <c r="AT16" s="11" t="s">
        <v>7</v>
      </c>
      <c r="AU16" s="10" t="s">
        <v>18</v>
      </c>
    </row>
    <row r="17" spans="1:47" x14ac:dyDescent="0.2">
      <c r="A17">
        <v>5.6</v>
      </c>
      <c r="B17">
        <v>2.9</v>
      </c>
      <c r="C17">
        <v>3.6</v>
      </c>
      <c r="D17">
        <v>1.3</v>
      </c>
      <c r="E17" s="3" t="s">
        <v>6</v>
      </c>
      <c r="J17" s="2">
        <f>POWER(J$4-A17,2)</f>
        <v>4.000000000000007E-2</v>
      </c>
      <c r="K17" s="2">
        <f>POWER(K$4-B17,2)</f>
        <v>1.2100000000000002</v>
      </c>
      <c r="L17" s="2">
        <f>POWER(L$4-C17,2)</f>
        <v>5.7600000000000016</v>
      </c>
      <c r="M17" s="2">
        <f>POWER(M$4-D17,2)</f>
        <v>1.2100000000000002</v>
      </c>
      <c r="N17" s="7">
        <f t="shared" si="2"/>
        <v>2.8670542373662906</v>
      </c>
      <c r="O17" s="2">
        <f>POWER(O$4-A17,2)</f>
        <v>0</v>
      </c>
      <c r="P17" s="2">
        <f>POWER(P$4-B17,2)</f>
        <v>1.0000000000000018E-2</v>
      </c>
      <c r="Q17" s="2">
        <f>POWER(Q$4-C17,2)</f>
        <v>0.80999999999999983</v>
      </c>
      <c r="R17" s="2">
        <f>POWER(R$4-D17,2)</f>
        <v>3.999999999999998E-2</v>
      </c>
      <c r="S17" s="7">
        <f t="shared" si="3"/>
        <v>0.92736184954957035</v>
      </c>
      <c r="T17" s="2">
        <f>POWER(T$4-A17,2)</f>
        <v>0.25</v>
      </c>
      <c r="U17" s="2">
        <f>POWER(U$4-B17,2)</f>
        <v>1.0000000000000018E-2</v>
      </c>
      <c r="V17" s="2">
        <f>POWER(V$4-C17,2)</f>
        <v>1.6900000000000006</v>
      </c>
      <c r="W17" s="2">
        <f>POWER(W$4-D17,2)</f>
        <v>0.25</v>
      </c>
      <c r="X17" s="7">
        <f t="shared" si="4"/>
        <v>1.4832396974191329</v>
      </c>
      <c r="Y17" s="9">
        <f t="shared" si="5"/>
        <v>0.92736184954957035</v>
      </c>
      <c r="Z17" t="str">
        <f>IF(Y17=N17,"C1",IF(Y17=S17,"C2",IF(Y17=X17,"C3")))</f>
        <v>C2</v>
      </c>
      <c r="AB17" s="10">
        <v>5.4</v>
      </c>
      <c r="AC17" s="10">
        <v>3.4</v>
      </c>
      <c r="AD17" s="10">
        <v>1.7</v>
      </c>
      <c r="AE17" s="10">
        <v>0.2</v>
      </c>
      <c r="AF17" s="11" t="s">
        <v>5</v>
      </c>
      <c r="AG17" s="10" t="s">
        <v>16</v>
      </c>
      <c r="AI17" s="10">
        <v>6.1</v>
      </c>
      <c r="AJ17" s="10">
        <v>2.8</v>
      </c>
      <c r="AK17" s="10">
        <v>4.7</v>
      </c>
      <c r="AL17" s="10">
        <v>1.2</v>
      </c>
      <c r="AM17" s="11" t="s">
        <v>6</v>
      </c>
      <c r="AN17" s="10" t="s">
        <v>17</v>
      </c>
      <c r="AP17" s="10">
        <v>6.8</v>
      </c>
      <c r="AQ17" s="10">
        <v>3</v>
      </c>
      <c r="AR17" s="10">
        <v>5.5</v>
      </c>
      <c r="AS17" s="10">
        <v>2.1</v>
      </c>
      <c r="AT17" s="11" t="s">
        <v>7</v>
      </c>
      <c r="AU17" s="10" t="s">
        <v>18</v>
      </c>
    </row>
    <row r="18" spans="1:47" x14ac:dyDescent="0.2">
      <c r="A18">
        <v>6.7</v>
      </c>
      <c r="B18">
        <v>3.1</v>
      </c>
      <c r="C18">
        <v>4.4000000000000004</v>
      </c>
      <c r="D18">
        <v>1.4</v>
      </c>
      <c r="E18" s="3" t="s">
        <v>6</v>
      </c>
      <c r="J18" s="2">
        <f>POWER(J$4-A18,2)</f>
        <v>0.81000000000000061</v>
      </c>
      <c r="K18" s="2">
        <f>POWER(K$4-B18,2)</f>
        <v>0.80999999999999983</v>
      </c>
      <c r="L18" s="2">
        <f>POWER(L$4-C18,2)</f>
        <v>10.240000000000002</v>
      </c>
      <c r="M18" s="2">
        <f>POWER(M$4-D18,2)</f>
        <v>1.44</v>
      </c>
      <c r="N18" s="7">
        <f t="shared" si="2"/>
        <v>3.646916505762094</v>
      </c>
      <c r="O18" s="2">
        <f>POWER(O$4-A18,2)</f>
        <v>1.2100000000000011</v>
      </c>
      <c r="P18" s="2">
        <f>POWER(P$4-B18,2)</f>
        <v>1.0000000000000018E-2</v>
      </c>
      <c r="Q18" s="2">
        <f>POWER(Q$4-C18,2)</f>
        <v>9.9999999999999291E-3</v>
      </c>
      <c r="R18" s="2">
        <f>POWER(R$4-D18,2)</f>
        <v>1.0000000000000018E-2</v>
      </c>
      <c r="S18" s="7">
        <f t="shared" si="3"/>
        <v>1.1135528725660049</v>
      </c>
      <c r="T18" s="2">
        <f>POWER(T$4-A18,2)</f>
        <v>0.36000000000000065</v>
      </c>
      <c r="U18" s="2">
        <f>POWER(U$4-B18,2)</f>
        <v>1.0000000000000018E-2</v>
      </c>
      <c r="V18" s="2">
        <f>POWER(V$4-C18,2)</f>
        <v>0.25</v>
      </c>
      <c r="W18" s="2">
        <f>POWER(W$4-D18,2)</f>
        <v>0.16000000000000011</v>
      </c>
      <c r="X18" s="7">
        <f t="shared" si="4"/>
        <v>0.88317608663278513</v>
      </c>
      <c r="Y18" s="9">
        <f t="shared" si="5"/>
        <v>0.88317608663278513</v>
      </c>
      <c r="Z18" t="str">
        <f>IF(Y18=N18,"C1",IF(Y18=S18,"C2",IF(Y18=X18,"C3")))</f>
        <v>C3</v>
      </c>
      <c r="AB18" s="10">
        <v>5.0999999999999996</v>
      </c>
      <c r="AC18" s="10">
        <v>3.7</v>
      </c>
      <c r="AD18" s="10">
        <v>1.5</v>
      </c>
      <c r="AE18" s="10">
        <v>0.4</v>
      </c>
      <c r="AF18" s="11" t="s">
        <v>5</v>
      </c>
      <c r="AG18" s="10" t="s">
        <v>16</v>
      </c>
      <c r="AI18" s="10">
        <v>6</v>
      </c>
      <c r="AJ18" s="10">
        <v>2.9</v>
      </c>
      <c r="AK18" s="10">
        <v>4.5</v>
      </c>
      <c r="AL18" s="10">
        <v>1.5</v>
      </c>
      <c r="AM18" s="11" t="s">
        <v>6</v>
      </c>
      <c r="AN18" s="10" t="s">
        <v>17</v>
      </c>
      <c r="AP18" s="10">
        <v>6.2</v>
      </c>
      <c r="AQ18" s="10">
        <v>2.2000000000000002</v>
      </c>
      <c r="AR18" s="10">
        <v>4.5</v>
      </c>
      <c r="AS18" s="10">
        <v>1.5</v>
      </c>
      <c r="AT18" s="11" t="s">
        <v>6</v>
      </c>
      <c r="AU18" s="10" t="s">
        <v>18</v>
      </c>
    </row>
    <row r="19" spans="1:47" x14ac:dyDescent="0.2">
      <c r="A19">
        <v>5.8</v>
      </c>
      <c r="B19">
        <v>4</v>
      </c>
      <c r="C19">
        <v>1.2</v>
      </c>
      <c r="D19">
        <v>0.2</v>
      </c>
      <c r="E19" s="3" t="s">
        <v>5</v>
      </c>
      <c r="J19" s="2">
        <f>POWER(J$4-A19,2)</f>
        <v>0</v>
      </c>
      <c r="K19" s="2">
        <f>POWER(K$4-B19,2)</f>
        <v>0</v>
      </c>
      <c r="L19" s="2">
        <f>POWER(L$4-C19,2)</f>
        <v>0</v>
      </c>
      <c r="M19" s="2">
        <f>POWER(M$4-D19,2)</f>
        <v>0</v>
      </c>
      <c r="N19" s="7">
        <f t="shared" si="2"/>
        <v>0</v>
      </c>
      <c r="O19" s="2">
        <f>POWER(O$4-A19,2)</f>
        <v>4.000000000000007E-2</v>
      </c>
      <c r="P19" s="2">
        <f>POWER(P$4-B19,2)</f>
        <v>1</v>
      </c>
      <c r="Q19" s="2">
        <f>POWER(Q$4-C19,2)</f>
        <v>10.889999999999999</v>
      </c>
      <c r="R19" s="2">
        <f>POWER(R$4-D19,2)</f>
        <v>1.6900000000000002</v>
      </c>
      <c r="S19" s="7">
        <f t="shared" si="3"/>
        <v>3.6905284174491868</v>
      </c>
      <c r="T19" s="2">
        <f>POWER(T$4-A19,2)</f>
        <v>8.99999999999999E-2</v>
      </c>
      <c r="U19" s="2">
        <f>POWER(U$4-B19,2)</f>
        <v>1</v>
      </c>
      <c r="V19" s="2">
        <f>POWER(V$4-C19,2)</f>
        <v>13.690000000000001</v>
      </c>
      <c r="W19" s="2">
        <f>POWER(W$4-D19,2)</f>
        <v>2.5600000000000005</v>
      </c>
      <c r="X19" s="7">
        <f t="shared" si="4"/>
        <v>4.1641325627314032</v>
      </c>
      <c r="Y19" s="9">
        <f t="shared" si="5"/>
        <v>0</v>
      </c>
      <c r="Z19" t="str">
        <f>IF(Y19=N19,"C1",IF(Y19=S19,"C2",IF(Y19=X19,"C3")))</f>
        <v>C1</v>
      </c>
      <c r="AB19" s="10">
        <v>4.5999999999999996</v>
      </c>
      <c r="AC19" s="10">
        <v>3.6</v>
      </c>
      <c r="AD19" s="10">
        <v>1</v>
      </c>
      <c r="AE19" s="10">
        <v>0.2</v>
      </c>
      <c r="AF19" s="11" t="s">
        <v>5</v>
      </c>
      <c r="AG19" s="10" t="s">
        <v>16</v>
      </c>
      <c r="AI19" s="10">
        <v>5.7</v>
      </c>
      <c r="AJ19" s="10">
        <v>2.6</v>
      </c>
      <c r="AK19" s="10">
        <v>3.5</v>
      </c>
      <c r="AL19" s="10">
        <v>1</v>
      </c>
      <c r="AM19" s="11" t="s">
        <v>6</v>
      </c>
      <c r="AN19" s="10" t="s">
        <v>17</v>
      </c>
      <c r="AP19" s="10">
        <v>5.9</v>
      </c>
      <c r="AQ19" s="10">
        <v>3.2</v>
      </c>
      <c r="AR19" s="10">
        <v>4.8</v>
      </c>
      <c r="AS19" s="10">
        <v>1.8</v>
      </c>
      <c r="AT19" s="11" t="s">
        <v>6</v>
      </c>
      <c r="AU19" s="10" t="s">
        <v>18</v>
      </c>
    </row>
    <row r="20" spans="1:47" x14ac:dyDescent="0.2">
      <c r="A20">
        <v>5.7</v>
      </c>
      <c r="B20">
        <v>4.4000000000000004</v>
      </c>
      <c r="C20">
        <v>1.5</v>
      </c>
      <c r="D20">
        <v>0.4</v>
      </c>
      <c r="E20" s="3" t="s">
        <v>5</v>
      </c>
      <c r="J20" s="2">
        <f>POWER(J$4-A20,2)</f>
        <v>9.9999999999999291E-3</v>
      </c>
      <c r="K20" s="2">
        <f>POWER(K$4-B20,2)</f>
        <v>0.16000000000000028</v>
      </c>
      <c r="L20" s="2">
        <f>POWER(L$4-C20,2)</f>
        <v>9.0000000000000024E-2</v>
      </c>
      <c r="M20" s="2">
        <f>POWER(M$4-D20,2)</f>
        <v>4.0000000000000008E-2</v>
      </c>
      <c r="N20" s="7">
        <f t="shared" si="2"/>
        <v>0.54772255750516641</v>
      </c>
      <c r="O20" s="2">
        <f>POWER(O$4-A20,2)</f>
        <v>1.0000000000000106E-2</v>
      </c>
      <c r="P20" s="2">
        <f>POWER(P$4-B20,2)</f>
        <v>1.9600000000000011</v>
      </c>
      <c r="Q20" s="2">
        <f>POWER(Q$4-C20,2)</f>
        <v>9</v>
      </c>
      <c r="R20" s="2">
        <f>POWER(R$4-D20,2)</f>
        <v>1.2100000000000002</v>
      </c>
      <c r="S20" s="7">
        <f t="shared" si="3"/>
        <v>3.4899856733230297</v>
      </c>
      <c r="T20" s="2">
        <f>POWER(T$4-A20,2)</f>
        <v>0.15999999999999959</v>
      </c>
      <c r="U20" s="2">
        <f>POWER(U$4-B20,2)</f>
        <v>1.9600000000000011</v>
      </c>
      <c r="V20" s="2">
        <f>POWER(V$4-C20,2)</f>
        <v>11.560000000000002</v>
      </c>
      <c r="W20" s="2">
        <f>POWER(W$4-D20,2)</f>
        <v>1.9599999999999997</v>
      </c>
      <c r="X20" s="7">
        <f t="shared" si="4"/>
        <v>3.954743986657038</v>
      </c>
      <c r="Y20" s="9">
        <f t="shared" si="5"/>
        <v>0.54772255750516641</v>
      </c>
      <c r="Z20" t="str">
        <f>IF(Y20=N20,"C1",IF(Y20=S20,"C2",IF(Y20=X20,"C3")))</f>
        <v>C1</v>
      </c>
      <c r="AB20" s="10">
        <v>5.0999999999999996</v>
      </c>
      <c r="AC20" s="10">
        <v>3.3</v>
      </c>
      <c r="AD20" s="10">
        <v>1.7</v>
      </c>
      <c r="AE20" s="10">
        <v>0.5</v>
      </c>
      <c r="AF20" s="11" t="s">
        <v>5</v>
      </c>
      <c r="AG20" s="10" t="s">
        <v>16</v>
      </c>
      <c r="AI20" s="10">
        <v>5.5</v>
      </c>
      <c r="AJ20" s="10">
        <v>2.6</v>
      </c>
      <c r="AK20" s="10">
        <v>4.4000000000000004</v>
      </c>
      <c r="AL20" s="10">
        <v>1.2</v>
      </c>
      <c r="AM20" s="11" t="s">
        <v>6</v>
      </c>
      <c r="AN20" s="10" t="s">
        <v>17</v>
      </c>
      <c r="AP20" s="10">
        <v>6.3</v>
      </c>
      <c r="AQ20" s="10">
        <v>2.5</v>
      </c>
      <c r="AR20" s="10">
        <v>4.9000000000000004</v>
      </c>
      <c r="AS20" s="10">
        <v>1.5</v>
      </c>
      <c r="AT20" s="11" t="s">
        <v>6</v>
      </c>
      <c r="AU20" s="10" t="s">
        <v>18</v>
      </c>
    </row>
    <row r="21" spans="1:47" x14ac:dyDescent="0.2">
      <c r="A21">
        <v>5.4</v>
      </c>
      <c r="B21">
        <v>3.9</v>
      </c>
      <c r="C21">
        <v>1.3</v>
      </c>
      <c r="D21">
        <v>0.4</v>
      </c>
      <c r="E21" s="3" t="s">
        <v>5</v>
      </c>
      <c r="J21" s="2">
        <f>POWER(J$4-A21,2)</f>
        <v>0.15999999999999959</v>
      </c>
      <c r="K21" s="2">
        <f>POWER(K$4-B21,2)</f>
        <v>1.0000000000000018E-2</v>
      </c>
      <c r="L21" s="2">
        <f>POWER(L$4-C21,2)</f>
        <v>1.0000000000000018E-2</v>
      </c>
      <c r="M21" s="2">
        <f>POWER(M$4-D21,2)</f>
        <v>4.0000000000000008E-2</v>
      </c>
      <c r="N21" s="7">
        <f t="shared" si="2"/>
        <v>0.46904157598234253</v>
      </c>
      <c r="O21" s="2">
        <f>POWER(O$4-A21,2)</f>
        <v>3.9999999999999716E-2</v>
      </c>
      <c r="P21" s="2">
        <f>POWER(P$4-B21,2)</f>
        <v>0.80999999999999983</v>
      </c>
      <c r="Q21" s="2">
        <f>POWER(Q$4-C21,2)</f>
        <v>10.240000000000002</v>
      </c>
      <c r="R21" s="2">
        <f>POWER(R$4-D21,2)</f>
        <v>1.2100000000000002</v>
      </c>
      <c r="S21" s="7">
        <f t="shared" si="3"/>
        <v>3.5071355833500366</v>
      </c>
      <c r="T21" s="2">
        <f>POWER(T$4-A21,2)</f>
        <v>0.48999999999999899</v>
      </c>
      <c r="U21" s="2">
        <f>POWER(U$4-B21,2)</f>
        <v>0.80999999999999983</v>
      </c>
      <c r="V21" s="2">
        <f>POWER(V$4-C21,2)</f>
        <v>12.960000000000004</v>
      </c>
      <c r="W21" s="2">
        <f>POWER(W$4-D21,2)</f>
        <v>1.9599999999999997</v>
      </c>
      <c r="X21" s="7">
        <f t="shared" si="4"/>
        <v>4.0274061131204535</v>
      </c>
      <c r="Y21" s="9">
        <f t="shared" si="5"/>
        <v>0.46904157598234253</v>
      </c>
      <c r="Z21" t="str">
        <f>IF(Y21=N21,"C1",IF(Y21=S21,"C2",IF(Y21=X21,"C3")))</f>
        <v>C1</v>
      </c>
      <c r="AB21" s="10">
        <v>4.8</v>
      </c>
      <c r="AC21" s="10">
        <v>3.4</v>
      </c>
      <c r="AD21" s="10">
        <v>1.9</v>
      </c>
      <c r="AE21" s="10">
        <v>0.2</v>
      </c>
      <c r="AF21" s="11" t="s">
        <v>5</v>
      </c>
      <c r="AG21" s="10" t="s">
        <v>16</v>
      </c>
      <c r="AI21" s="10">
        <v>5.8</v>
      </c>
      <c r="AJ21" s="10">
        <v>2.6</v>
      </c>
      <c r="AK21" s="10">
        <v>4</v>
      </c>
      <c r="AL21" s="10">
        <v>1.2</v>
      </c>
      <c r="AM21" s="11" t="s">
        <v>6</v>
      </c>
      <c r="AN21" s="10" t="s">
        <v>17</v>
      </c>
      <c r="AP21" s="10">
        <v>6.4</v>
      </c>
      <c r="AQ21" s="10">
        <v>2.9</v>
      </c>
      <c r="AR21" s="10">
        <v>4.3</v>
      </c>
      <c r="AS21" s="10">
        <v>1.3</v>
      </c>
      <c r="AT21" s="11" t="s">
        <v>6</v>
      </c>
      <c r="AU21" s="10" t="s">
        <v>18</v>
      </c>
    </row>
    <row r="22" spans="1:47" x14ac:dyDescent="0.2">
      <c r="A22">
        <v>5.0999999999999996</v>
      </c>
      <c r="B22">
        <v>3.5</v>
      </c>
      <c r="C22">
        <v>1.4</v>
      </c>
      <c r="D22">
        <v>0.3</v>
      </c>
      <c r="E22" s="3" t="s">
        <v>5</v>
      </c>
      <c r="J22" s="2">
        <f>POWER(J$4-A22,2)</f>
        <v>0.49000000000000027</v>
      </c>
      <c r="K22" s="2">
        <f>POWER(K$4-B22,2)</f>
        <v>0.25</v>
      </c>
      <c r="L22" s="2">
        <f>POWER(L$4-C22,2)</f>
        <v>3.999999999999998E-2</v>
      </c>
      <c r="M22" s="2">
        <f>POWER(M$4-D22,2)</f>
        <v>9.999999999999995E-3</v>
      </c>
      <c r="N22" s="7">
        <f t="shared" si="2"/>
        <v>0.88881944173155902</v>
      </c>
      <c r="O22" s="2">
        <f>POWER(O$4-A22,2)</f>
        <v>0.25</v>
      </c>
      <c r="P22" s="2">
        <f>POWER(P$4-B22,2)</f>
        <v>0.25</v>
      </c>
      <c r="Q22" s="2">
        <f>POWER(Q$4-C22,2)</f>
        <v>9.6100000000000012</v>
      </c>
      <c r="R22" s="2">
        <f>POWER(R$4-D22,2)</f>
        <v>1.44</v>
      </c>
      <c r="S22" s="7">
        <f t="shared" si="3"/>
        <v>3.3985290935932859</v>
      </c>
      <c r="T22" s="2">
        <f>POWER(T$4-A22,2)</f>
        <v>1</v>
      </c>
      <c r="U22" s="2">
        <f>POWER(U$4-B22,2)</f>
        <v>0.25</v>
      </c>
      <c r="V22" s="2">
        <f>POWER(V$4-C22,2)</f>
        <v>12.250000000000004</v>
      </c>
      <c r="W22" s="2">
        <f>POWER(W$4-D22,2)</f>
        <v>2.25</v>
      </c>
      <c r="X22" s="7">
        <f t="shared" si="4"/>
        <v>3.9686269665968865</v>
      </c>
      <c r="Y22" s="9">
        <f t="shared" si="5"/>
        <v>0.88881944173155902</v>
      </c>
      <c r="Z22" t="str">
        <f>IF(Y22=N22,"C1",IF(Y22=S22,"C2",IF(Y22=X22,"C3")))</f>
        <v>C1</v>
      </c>
      <c r="AB22" s="10">
        <v>5</v>
      </c>
      <c r="AC22" s="10">
        <v>3.2</v>
      </c>
      <c r="AD22" s="10">
        <v>1.2</v>
      </c>
      <c r="AE22" s="10">
        <v>0.2</v>
      </c>
      <c r="AF22" s="11" t="s">
        <v>5</v>
      </c>
      <c r="AG22" s="10" t="s">
        <v>16</v>
      </c>
      <c r="AI22" s="10">
        <v>5</v>
      </c>
      <c r="AJ22" s="10">
        <v>2.2999999999999998</v>
      </c>
      <c r="AK22" s="10">
        <v>3.3</v>
      </c>
      <c r="AL22" s="10">
        <v>1</v>
      </c>
      <c r="AM22" s="11" t="s">
        <v>6</v>
      </c>
      <c r="AN22" s="10" t="s">
        <v>17</v>
      </c>
      <c r="AP22" s="10">
        <v>6.6</v>
      </c>
      <c r="AQ22" s="10">
        <v>3</v>
      </c>
      <c r="AR22" s="10">
        <v>4.4000000000000004</v>
      </c>
      <c r="AS22" s="10">
        <v>1.4</v>
      </c>
      <c r="AT22" s="11" t="s">
        <v>6</v>
      </c>
      <c r="AU22" s="10" t="s">
        <v>18</v>
      </c>
    </row>
    <row r="23" spans="1:47" x14ac:dyDescent="0.2">
      <c r="A23">
        <v>5.7</v>
      </c>
      <c r="B23">
        <v>3.8</v>
      </c>
      <c r="C23">
        <v>1.7</v>
      </c>
      <c r="D23">
        <v>0.3</v>
      </c>
      <c r="E23" s="3" t="s">
        <v>5</v>
      </c>
      <c r="J23" s="2">
        <f>POWER(J$4-A23,2)</f>
        <v>9.9999999999999291E-3</v>
      </c>
      <c r="K23" s="2">
        <f>POWER(K$4-B23,2)</f>
        <v>4.000000000000007E-2</v>
      </c>
      <c r="L23" s="2">
        <f>POWER(L$4-C23,2)</f>
        <v>0.25</v>
      </c>
      <c r="M23" s="2">
        <f>POWER(M$4-D23,2)</f>
        <v>9.999999999999995E-3</v>
      </c>
      <c r="N23" s="7">
        <f t="shared" si="2"/>
        <v>0.55677643628300222</v>
      </c>
      <c r="O23" s="2">
        <f>POWER(O$4-A23,2)</f>
        <v>1.0000000000000106E-2</v>
      </c>
      <c r="P23" s="2">
        <f>POWER(P$4-B23,2)</f>
        <v>0.63999999999999968</v>
      </c>
      <c r="Q23" s="2">
        <f>POWER(Q$4-C23,2)</f>
        <v>7.839999999999999</v>
      </c>
      <c r="R23" s="2">
        <f>POWER(R$4-D23,2)</f>
        <v>1.44</v>
      </c>
      <c r="S23" s="7">
        <f t="shared" si="3"/>
        <v>3.1511902513177459</v>
      </c>
      <c r="T23" s="2">
        <f>POWER(T$4-A23,2)</f>
        <v>0.15999999999999959</v>
      </c>
      <c r="U23" s="2">
        <f>POWER(U$4-B23,2)</f>
        <v>0.63999999999999968</v>
      </c>
      <c r="V23" s="2">
        <f>POWER(V$4-C23,2)</f>
        <v>10.240000000000002</v>
      </c>
      <c r="W23" s="2">
        <f>POWER(W$4-D23,2)</f>
        <v>2.25</v>
      </c>
      <c r="X23" s="7">
        <f t="shared" si="4"/>
        <v>3.6455452267116368</v>
      </c>
      <c r="Y23" s="9">
        <f t="shared" si="5"/>
        <v>0.55677643628300222</v>
      </c>
      <c r="Z23" t="str">
        <f>IF(Y23=N23,"C1",IF(Y23=S23,"C2",IF(Y23=X23,"C3")))</f>
        <v>C1</v>
      </c>
      <c r="AB23" s="10">
        <v>5.5</v>
      </c>
      <c r="AC23" s="10">
        <v>3.5</v>
      </c>
      <c r="AD23" s="10">
        <v>1.3</v>
      </c>
      <c r="AE23" s="10">
        <v>0.2</v>
      </c>
      <c r="AF23" s="11" t="s">
        <v>5</v>
      </c>
      <c r="AG23" s="10" t="s">
        <v>16</v>
      </c>
      <c r="AI23" s="10">
        <v>5.6</v>
      </c>
      <c r="AJ23" s="10">
        <v>2.7</v>
      </c>
      <c r="AK23" s="10">
        <v>4.2</v>
      </c>
      <c r="AL23" s="10">
        <v>1.3</v>
      </c>
      <c r="AM23" s="11" t="s">
        <v>6</v>
      </c>
      <c r="AN23" s="10" t="s">
        <v>17</v>
      </c>
      <c r="AP23" s="10">
        <v>6.8</v>
      </c>
      <c r="AQ23" s="10">
        <v>2.8</v>
      </c>
      <c r="AR23" s="10">
        <v>4.8</v>
      </c>
      <c r="AS23" s="10">
        <v>1.4</v>
      </c>
      <c r="AT23" s="11" t="s">
        <v>6</v>
      </c>
      <c r="AU23" s="10" t="s">
        <v>18</v>
      </c>
    </row>
    <row r="24" spans="1:47" x14ac:dyDescent="0.2">
      <c r="A24">
        <v>5.0999999999999996</v>
      </c>
      <c r="B24">
        <v>3.8</v>
      </c>
      <c r="C24">
        <v>1.5</v>
      </c>
      <c r="D24">
        <v>0.3</v>
      </c>
      <c r="E24" s="3" t="s">
        <v>5</v>
      </c>
      <c r="J24" s="2">
        <f>POWER(J$4-A24,2)</f>
        <v>0.49000000000000027</v>
      </c>
      <c r="K24" s="2">
        <f>POWER(K$4-B24,2)</f>
        <v>4.000000000000007E-2</v>
      </c>
      <c r="L24" s="2">
        <f>POWER(L$4-C24,2)</f>
        <v>9.0000000000000024E-2</v>
      </c>
      <c r="M24" s="2">
        <f>POWER(M$4-D24,2)</f>
        <v>9.999999999999995E-3</v>
      </c>
      <c r="N24" s="7">
        <f t="shared" si="2"/>
        <v>0.79372539331937741</v>
      </c>
      <c r="O24" s="2">
        <f>POWER(O$4-A24,2)</f>
        <v>0.25</v>
      </c>
      <c r="P24" s="2">
        <f>POWER(P$4-B24,2)</f>
        <v>0.63999999999999968</v>
      </c>
      <c r="Q24" s="2">
        <f>POWER(Q$4-C24,2)</f>
        <v>9</v>
      </c>
      <c r="R24" s="2">
        <f>POWER(R$4-D24,2)</f>
        <v>1.44</v>
      </c>
      <c r="S24" s="7">
        <f t="shared" si="3"/>
        <v>3.3660065359413669</v>
      </c>
      <c r="T24" s="2">
        <f>POWER(T$4-A24,2)</f>
        <v>1</v>
      </c>
      <c r="U24" s="2">
        <f>POWER(U$4-B24,2)</f>
        <v>0.63999999999999968</v>
      </c>
      <c r="V24" s="2">
        <f>POWER(V$4-C24,2)</f>
        <v>11.560000000000002</v>
      </c>
      <c r="W24" s="2">
        <f>POWER(W$4-D24,2)</f>
        <v>2.25</v>
      </c>
      <c r="X24" s="7">
        <f t="shared" si="4"/>
        <v>3.9306488014067096</v>
      </c>
      <c r="Y24" s="9">
        <f t="shared" si="5"/>
        <v>0.79372539331937741</v>
      </c>
      <c r="Z24" t="str">
        <f>IF(Y24=N24,"C1",IF(Y24=S24,"C2",IF(Y24=X24,"C3")))</f>
        <v>C1</v>
      </c>
      <c r="AB24" s="10">
        <v>4.9000000000000004</v>
      </c>
      <c r="AC24" s="10">
        <v>3.1</v>
      </c>
      <c r="AD24" s="10">
        <v>1.5</v>
      </c>
      <c r="AE24" s="10">
        <v>0.1</v>
      </c>
      <c r="AF24" s="11" t="s">
        <v>5</v>
      </c>
      <c r="AG24" s="10" t="s">
        <v>16</v>
      </c>
      <c r="AI24" s="10">
        <v>5.7</v>
      </c>
      <c r="AJ24" s="10">
        <v>3</v>
      </c>
      <c r="AK24" s="10">
        <v>4.2</v>
      </c>
      <c r="AL24" s="10">
        <v>1.2</v>
      </c>
      <c r="AM24" s="11" t="s">
        <v>6</v>
      </c>
      <c r="AN24" s="10" t="s">
        <v>17</v>
      </c>
      <c r="AP24" s="10">
        <v>6.7</v>
      </c>
      <c r="AQ24" s="10">
        <v>3</v>
      </c>
      <c r="AR24" s="10">
        <v>5</v>
      </c>
      <c r="AS24" s="10">
        <v>1.7</v>
      </c>
      <c r="AT24" s="11" t="s">
        <v>6</v>
      </c>
      <c r="AU24" s="10" t="s">
        <v>18</v>
      </c>
    </row>
    <row r="25" spans="1:47" x14ac:dyDescent="0.2">
      <c r="A25">
        <v>5.4</v>
      </c>
      <c r="B25">
        <v>3.4</v>
      </c>
      <c r="C25">
        <v>1.7</v>
      </c>
      <c r="D25">
        <v>0.2</v>
      </c>
      <c r="E25" s="3" t="s">
        <v>5</v>
      </c>
      <c r="J25" s="2">
        <f>POWER(J$4-A25,2)</f>
        <v>0.15999999999999959</v>
      </c>
      <c r="K25" s="2">
        <f>POWER(K$4-B25,2)</f>
        <v>0.3600000000000001</v>
      </c>
      <c r="L25" s="2">
        <f>POWER(L$4-C25,2)</f>
        <v>0.25</v>
      </c>
      <c r="M25" s="2">
        <f>POWER(M$4-D25,2)</f>
        <v>0</v>
      </c>
      <c r="N25" s="7">
        <f t="shared" si="2"/>
        <v>0.87749643873921201</v>
      </c>
      <c r="O25" s="2">
        <f>POWER(O$4-A25,2)</f>
        <v>3.9999999999999716E-2</v>
      </c>
      <c r="P25" s="2">
        <f>POWER(P$4-B25,2)</f>
        <v>0.15999999999999992</v>
      </c>
      <c r="Q25" s="2">
        <f>POWER(Q$4-C25,2)</f>
        <v>7.839999999999999</v>
      </c>
      <c r="R25" s="2">
        <f>POWER(R$4-D25,2)</f>
        <v>1.6900000000000002</v>
      </c>
      <c r="S25" s="7">
        <f t="shared" si="3"/>
        <v>3.119294792096444</v>
      </c>
      <c r="T25" s="2">
        <f>POWER(T$4-A25,2)</f>
        <v>0.48999999999999899</v>
      </c>
      <c r="U25" s="2">
        <f>POWER(U$4-B25,2)</f>
        <v>0.15999999999999992</v>
      </c>
      <c r="V25" s="2">
        <f>POWER(V$4-C25,2)</f>
        <v>10.240000000000002</v>
      </c>
      <c r="W25" s="2">
        <f>POWER(W$4-D25,2)</f>
        <v>2.5600000000000005</v>
      </c>
      <c r="X25" s="7">
        <f t="shared" si="4"/>
        <v>3.66742416417845</v>
      </c>
      <c r="Y25" s="9">
        <f t="shared" si="5"/>
        <v>0.87749643873921201</v>
      </c>
      <c r="Z25" t="str">
        <f>IF(Y25=N25,"C1",IF(Y25=S25,"C2",IF(Y25=X25,"C3")))</f>
        <v>C1</v>
      </c>
      <c r="AB25" s="10">
        <v>4.4000000000000004</v>
      </c>
      <c r="AC25" s="10">
        <v>3</v>
      </c>
      <c r="AD25" s="10">
        <v>1.3</v>
      </c>
      <c r="AE25" s="10">
        <v>0.2</v>
      </c>
      <c r="AF25" s="11" t="s">
        <v>5</v>
      </c>
      <c r="AG25" s="10" t="s">
        <v>16</v>
      </c>
      <c r="AI25" s="10">
        <v>5.7</v>
      </c>
      <c r="AJ25" s="10">
        <v>2.9</v>
      </c>
      <c r="AK25" s="10">
        <v>4.2</v>
      </c>
      <c r="AL25" s="10">
        <v>1.3</v>
      </c>
      <c r="AM25" s="11" t="s">
        <v>6</v>
      </c>
      <c r="AN25" s="10" t="s">
        <v>17</v>
      </c>
      <c r="AP25" s="10">
        <v>6.1</v>
      </c>
      <c r="AQ25" s="10">
        <v>3</v>
      </c>
      <c r="AR25" s="10">
        <v>4.5999999999999996</v>
      </c>
      <c r="AS25" s="10">
        <v>1.4</v>
      </c>
      <c r="AT25" s="11" t="s">
        <v>6</v>
      </c>
      <c r="AU25" s="10" t="s">
        <v>18</v>
      </c>
    </row>
    <row r="26" spans="1:47" x14ac:dyDescent="0.2">
      <c r="A26">
        <v>5.0999999999999996</v>
      </c>
      <c r="B26">
        <v>3.7</v>
      </c>
      <c r="C26">
        <v>1.5</v>
      </c>
      <c r="D26">
        <v>0.4</v>
      </c>
      <c r="E26" s="3" t="s">
        <v>5</v>
      </c>
      <c r="J26" s="2">
        <f>POWER(J$4-A26,2)</f>
        <v>0.49000000000000027</v>
      </c>
      <c r="K26" s="2">
        <f>POWER(K$4-B26,2)</f>
        <v>8.99999999999999E-2</v>
      </c>
      <c r="L26" s="2">
        <f>POWER(L$4-C26,2)</f>
        <v>9.0000000000000024E-2</v>
      </c>
      <c r="M26" s="2">
        <f>POWER(M$4-D26,2)</f>
        <v>4.0000000000000008E-2</v>
      </c>
      <c r="N26" s="7">
        <f t="shared" si="2"/>
        <v>0.84261497731763602</v>
      </c>
      <c r="O26" s="2">
        <f>POWER(O$4-A26,2)</f>
        <v>0.25</v>
      </c>
      <c r="P26" s="2">
        <f>POWER(P$4-B26,2)</f>
        <v>0.49000000000000027</v>
      </c>
      <c r="Q26" s="2">
        <f>POWER(Q$4-C26,2)</f>
        <v>9</v>
      </c>
      <c r="R26" s="2">
        <f>POWER(R$4-D26,2)</f>
        <v>1.2100000000000002</v>
      </c>
      <c r="S26" s="7">
        <f t="shared" si="3"/>
        <v>3.3090784215548594</v>
      </c>
      <c r="T26" s="2">
        <f>POWER(T$4-A26,2)</f>
        <v>1</v>
      </c>
      <c r="U26" s="2">
        <f>POWER(U$4-B26,2)</f>
        <v>0.49000000000000027</v>
      </c>
      <c r="V26" s="2">
        <f>POWER(V$4-C26,2)</f>
        <v>11.560000000000002</v>
      </c>
      <c r="W26" s="2">
        <f>POWER(W$4-D26,2)</f>
        <v>1.9599999999999997</v>
      </c>
      <c r="X26" s="7">
        <f t="shared" si="4"/>
        <v>3.8742741255621036</v>
      </c>
      <c r="Y26" s="9">
        <f t="shared" si="5"/>
        <v>0.84261497731763602</v>
      </c>
      <c r="Z26" t="str">
        <f>IF(Y26=N26,"C1",IF(Y26=S26,"C2",IF(Y26=X26,"C3")))</f>
        <v>C1</v>
      </c>
      <c r="AB26" s="10">
        <v>5.0999999999999996</v>
      </c>
      <c r="AC26" s="10">
        <v>3.4</v>
      </c>
      <c r="AD26" s="10">
        <v>1.5</v>
      </c>
      <c r="AE26" s="10">
        <v>0.2</v>
      </c>
      <c r="AF26" s="11" t="s">
        <v>5</v>
      </c>
      <c r="AG26" s="10" t="s">
        <v>16</v>
      </c>
      <c r="AI26" s="10">
        <v>6.2</v>
      </c>
      <c r="AJ26" s="10">
        <v>2.9</v>
      </c>
      <c r="AK26" s="10">
        <v>4.3</v>
      </c>
      <c r="AL26" s="10">
        <v>1.3</v>
      </c>
      <c r="AM26" s="11" t="s">
        <v>6</v>
      </c>
      <c r="AN26" s="10" t="s">
        <v>17</v>
      </c>
      <c r="AP26" s="10">
        <v>6.3</v>
      </c>
      <c r="AQ26" s="10">
        <v>3.3</v>
      </c>
      <c r="AR26" s="10">
        <v>6</v>
      </c>
      <c r="AS26" s="10">
        <v>2.5</v>
      </c>
      <c r="AT26" s="11" t="s">
        <v>7</v>
      </c>
      <c r="AU26" s="10" t="s">
        <v>18</v>
      </c>
    </row>
    <row r="27" spans="1:47" x14ac:dyDescent="0.2">
      <c r="A27">
        <v>4.5999999999999996</v>
      </c>
      <c r="B27">
        <v>3.6</v>
      </c>
      <c r="C27">
        <v>1</v>
      </c>
      <c r="D27">
        <v>0.2</v>
      </c>
      <c r="E27" s="3" t="s">
        <v>5</v>
      </c>
      <c r="J27" s="2">
        <f>POWER(J$4-A27,2)</f>
        <v>1.4400000000000004</v>
      </c>
      <c r="K27" s="2">
        <f>POWER(K$4-B27,2)</f>
        <v>0.15999999999999992</v>
      </c>
      <c r="L27" s="2">
        <f>POWER(L$4-C27,2)</f>
        <v>3.999999999999998E-2</v>
      </c>
      <c r="M27" s="2">
        <f>POWER(M$4-D27,2)</f>
        <v>0</v>
      </c>
      <c r="N27" s="7">
        <f t="shared" si="2"/>
        <v>1.2806248474865698</v>
      </c>
      <c r="O27" s="2">
        <f>POWER(O$4-A27,2)</f>
        <v>1</v>
      </c>
      <c r="P27" s="2">
        <f>POWER(P$4-B27,2)</f>
        <v>0.3600000000000001</v>
      </c>
      <c r="Q27" s="2">
        <f>POWER(Q$4-C27,2)</f>
        <v>12.25</v>
      </c>
      <c r="R27" s="2">
        <f>POWER(R$4-D27,2)</f>
        <v>1.6900000000000002</v>
      </c>
      <c r="S27" s="7">
        <f t="shared" si="3"/>
        <v>3.9115214431215892</v>
      </c>
      <c r="T27" s="2">
        <f>POWER(T$4-A27,2)</f>
        <v>2.25</v>
      </c>
      <c r="U27" s="2">
        <f>POWER(U$4-B27,2)</f>
        <v>0.3600000000000001</v>
      </c>
      <c r="V27" s="2">
        <f>POWER(V$4-C27,2)</f>
        <v>15.210000000000003</v>
      </c>
      <c r="W27" s="2">
        <f>POWER(W$4-D27,2)</f>
        <v>2.5600000000000005</v>
      </c>
      <c r="X27" s="7">
        <f t="shared" si="4"/>
        <v>4.5144213361182848</v>
      </c>
      <c r="Y27" s="9">
        <f t="shared" si="5"/>
        <v>1.2806248474865698</v>
      </c>
      <c r="Z27" t="str">
        <f>IF(Y27=N27,"C1",IF(Y27=S27,"C2",IF(Y27=X27,"C3")))</f>
        <v>C1</v>
      </c>
      <c r="AB27" s="10">
        <v>5</v>
      </c>
      <c r="AC27" s="10">
        <v>3.5</v>
      </c>
      <c r="AD27" s="10">
        <v>1.3</v>
      </c>
      <c r="AE27" s="10">
        <v>0.3</v>
      </c>
      <c r="AF27" s="11" t="s">
        <v>5</v>
      </c>
      <c r="AG27" s="10" t="s">
        <v>16</v>
      </c>
      <c r="AI27" s="10">
        <v>5.0999999999999996</v>
      </c>
      <c r="AJ27" s="10">
        <v>2.5</v>
      </c>
      <c r="AK27" s="10">
        <v>3</v>
      </c>
      <c r="AL27" s="10">
        <v>1.1000000000000001</v>
      </c>
      <c r="AM27" s="11" t="s">
        <v>6</v>
      </c>
      <c r="AN27" s="10" t="s">
        <v>17</v>
      </c>
      <c r="AP27" s="10">
        <v>5.8</v>
      </c>
      <c r="AQ27" s="10">
        <v>2.7</v>
      </c>
      <c r="AR27" s="10">
        <v>5.0999999999999996</v>
      </c>
      <c r="AS27" s="10">
        <v>1.9</v>
      </c>
      <c r="AT27" s="11" t="s">
        <v>7</v>
      </c>
      <c r="AU27" s="10" t="s">
        <v>18</v>
      </c>
    </row>
    <row r="28" spans="1:47" x14ac:dyDescent="0.2">
      <c r="A28">
        <v>5.0999999999999996</v>
      </c>
      <c r="B28">
        <v>3.3</v>
      </c>
      <c r="C28">
        <v>1.7</v>
      </c>
      <c r="D28">
        <v>0.5</v>
      </c>
      <c r="E28" s="3" t="s">
        <v>5</v>
      </c>
      <c r="J28" s="2">
        <f>POWER(J$4-A28,2)</f>
        <v>0.49000000000000027</v>
      </c>
      <c r="K28" s="2">
        <f>POWER(K$4-B28,2)</f>
        <v>0.49000000000000027</v>
      </c>
      <c r="L28" s="2">
        <f>POWER(L$4-C28,2)</f>
        <v>0.25</v>
      </c>
      <c r="M28" s="2">
        <f>POWER(M$4-D28,2)</f>
        <v>0.09</v>
      </c>
      <c r="N28" s="7">
        <f t="shared" si="2"/>
        <v>1.1489125293076059</v>
      </c>
      <c r="O28" s="2">
        <f>POWER(O$4-A28,2)</f>
        <v>0.25</v>
      </c>
      <c r="P28" s="2">
        <f>POWER(P$4-B28,2)</f>
        <v>8.99999999999999E-2</v>
      </c>
      <c r="Q28" s="2">
        <f>POWER(Q$4-C28,2)</f>
        <v>7.839999999999999</v>
      </c>
      <c r="R28" s="2">
        <f>POWER(R$4-D28,2)</f>
        <v>1</v>
      </c>
      <c r="S28" s="7">
        <f t="shared" si="3"/>
        <v>3.0298514815086235</v>
      </c>
      <c r="T28" s="2">
        <f>POWER(T$4-A28,2)</f>
        <v>1</v>
      </c>
      <c r="U28" s="2">
        <f>POWER(U$4-B28,2)</f>
        <v>8.99999999999999E-2</v>
      </c>
      <c r="V28" s="2">
        <f>POWER(V$4-C28,2)</f>
        <v>10.240000000000002</v>
      </c>
      <c r="W28" s="2">
        <f>POWER(W$4-D28,2)</f>
        <v>1.6900000000000002</v>
      </c>
      <c r="X28" s="7">
        <f t="shared" si="4"/>
        <v>3.6083237105337433</v>
      </c>
      <c r="Y28" s="9">
        <f t="shared" si="5"/>
        <v>1.1489125293076059</v>
      </c>
      <c r="Z28" t="str">
        <f>IF(Y28=N28,"C1",IF(Y28=S28,"C2",IF(Y28=X28,"C3")))</f>
        <v>C1</v>
      </c>
      <c r="AB28" s="10">
        <v>4.5</v>
      </c>
      <c r="AC28" s="10">
        <v>2.2999999999999998</v>
      </c>
      <c r="AD28" s="10">
        <v>1.3</v>
      </c>
      <c r="AE28" s="10">
        <v>0.3</v>
      </c>
      <c r="AF28" s="11" t="s">
        <v>5</v>
      </c>
      <c r="AG28" s="10" t="s">
        <v>16</v>
      </c>
      <c r="AI28" s="10">
        <v>5.7</v>
      </c>
      <c r="AJ28" s="10">
        <v>2.8</v>
      </c>
      <c r="AK28" s="10">
        <v>4.0999999999999996</v>
      </c>
      <c r="AL28" s="10">
        <v>1.3</v>
      </c>
      <c r="AM28" s="11" t="s">
        <v>6</v>
      </c>
      <c r="AN28" s="10" t="s">
        <v>17</v>
      </c>
      <c r="AP28" s="10">
        <v>7.1</v>
      </c>
      <c r="AQ28" s="10">
        <v>3</v>
      </c>
      <c r="AR28" s="10">
        <v>5.9</v>
      </c>
      <c r="AS28" s="10">
        <v>2.1</v>
      </c>
      <c r="AT28" s="11" t="s">
        <v>7</v>
      </c>
      <c r="AU28" s="10" t="s">
        <v>18</v>
      </c>
    </row>
    <row r="29" spans="1:47" x14ac:dyDescent="0.2">
      <c r="A29">
        <v>4.8</v>
      </c>
      <c r="B29">
        <v>3.4</v>
      </c>
      <c r="C29">
        <v>1.9</v>
      </c>
      <c r="D29">
        <v>0.2</v>
      </c>
      <c r="E29" s="3" t="s">
        <v>5</v>
      </c>
      <c r="J29" s="2">
        <f>POWER(J$4-A29,2)</f>
        <v>1</v>
      </c>
      <c r="K29" s="2">
        <f>POWER(K$4-B29,2)</f>
        <v>0.3600000000000001</v>
      </c>
      <c r="L29" s="2">
        <f>POWER(L$4-C29,2)</f>
        <v>0.48999999999999994</v>
      </c>
      <c r="M29" s="2">
        <f>POWER(M$4-D29,2)</f>
        <v>0</v>
      </c>
      <c r="N29" s="7">
        <f t="shared" si="2"/>
        <v>1.3601470508735443</v>
      </c>
      <c r="O29" s="2">
        <f>POWER(O$4-A29,2)</f>
        <v>0.63999999999999968</v>
      </c>
      <c r="P29" s="2">
        <f>POWER(P$4-B29,2)</f>
        <v>0.15999999999999992</v>
      </c>
      <c r="Q29" s="2">
        <f>POWER(Q$4-C29,2)</f>
        <v>6.7600000000000007</v>
      </c>
      <c r="R29" s="2">
        <f>POWER(R$4-D29,2)</f>
        <v>1.6900000000000002</v>
      </c>
      <c r="S29" s="7">
        <f t="shared" si="3"/>
        <v>3.0413812651491097</v>
      </c>
      <c r="T29" s="2">
        <f>POWER(T$4-A29,2)</f>
        <v>1.6899999999999995</v>
      </c>
      <c r="U29" s="2">
        <f>POWER(U$4-B29,2)</f>
        <v>0.15999999999999992</v>
      </c>
      <c r="V29" s="2">
        <f>POWER(V$4-C29,2)</f>
        <v>9.0000000000000036</v>
      </c>
      <c r="W29" s="2">
        <f>POWER(W$4-D29,2)</f>
        <v>2.5600000000000005</v>
      </c>
      <c r="X29" s="7">
        <f t="shared" si="4"/>
        <v>3.6619666847201113</v>
      </c>
      <c r="Y29" s="9">
        <f t="shared" si="5"/>
        <v>1.3601470508735443</v>
      </c>
      <c r="Z29" t="str">
        <f>IF(Y29=N29,"C1",IF(Y29=S29,"C2",IF(Y29=X29,"C3")))</f>
        <v>C1</v>
      </c>
      <c r="AB29" s="10">
        <v>4.4000000000000004</v>
      </c>
      <c r="AC29" s="10">
        <v>3.2</v>
      </c>
      <c r="AD29" s="10">
        <v>1.3</v>
      </c>
      <c r="AE29" s="10">
        <v>0.2</v>
      </c>
      <c r="AF29" s="11" t="s">
        <v>5</v>
      </c>
      <c r="AG29" s="10" t="s">
        <v>16</v>
      </c>
      <c r="AP29" s="10">
        <v>6.3</v>
      </c>
      <c r="AQ29" s="10">
        <v>2.9</v>
      </c>
      <c r="AR29" s="10">
        <v>5.6</v>
      </c>
      <c r="AS29" s="10">
        <v>1.8</v>
      </c>
      <c r="AT29" s="11" t="s">
        <v>7</v>
      </c>
      <c r="AU29" s="10" t="s">
        <v>18</v>
      </c>
    </row>
    <row r="30" spans="1:47" x14ac:dyDescent="0.2">
      <c r="A30">
        <v>5</v>
      </c>
      <c r="B30">
        <v>3.2</v>
      </c>
      <c r="C30">
        <v>1.2</v>
      </c>
      <c r="D30">
        <v>0.2</v>
      </c>
      <c r="E30" s="3" t="s">
        <v>5</v>
      </c>
      <c r="J30" s="2">
        <f>POWER(J$4-A30,2)</f>
        <v>0.63999999999999968</v>
      </c>
      <c r="K30" s="2">
        <f>POWER(K$4-B30,2)</f>
        <v>0.63999999999999968</v>
      </c>
      <c r="L30" s="2">
        <f>POWER(L$4-C30,2)</f>
        <v>0</v>
      </c>
      <c r="M30" s="2">
        <f>POWER(M$4-D30,2)</f>
        <v>0</v>
      </c>
      <c r="N30" s="7">
        <f t="shared" si="2"/>
        <v>1.1313708498984758</v>
      </c>
      <c r="O30" s="2">
        <f>POWER(O$4-A30,2)</f>
        <v>0.3599999999999996</v>
      </c>
      <c r="P30" s="2">
        <f>POWER(P$4-B30,2)</f>
        <v>4.000000000000007E-2</v>
      </c>
      <c r="Q30" s="2">
        <f>POWER(Q$4-C30,2)</f>
        <v>10.889999999999999</v>
      </c>
      <c r="R30" s="2">
        <f>POWER(R$4-D30,2)</f>
        <v>1.6900000000000002</v>
      </c>
      <c r="S30" s="7">
        <f t="shared" si="3"/>
        <v>3.602776706930364</v>
      </c>
      <c r="T30" s="2">
        <f>POWER(T$4-A30,2)</f>
        <v>1.2099999999999993</v>
      </c>
      <c r="U30" s="2">
        <f>POWER(U$4-B30,2)</f>
        <v>4.000000000000007E-2</v>
      </c>
      <c r="V30" s="2">
        <f>POWER(V$4-C30,2)</f>
        <v>13.690000000000001</v>
      </c>
      <c r="W30" s="2">
        <f>POWER(W$4-D30,2)</f>
        <v>2.5600000000000005</v>
      </c>
      <c r="X30" s="7">
        <f t="shared" si="4"/>
        <v>4.1833001326703778</v>
      </c>
      <c r="Y30" s="9">
        <f t="shared" si="5"/>
        <v>1.1313708498984758</v>
      </c>
      <c r="Z30" t="str">
        <f>IF(Y30=N30,"C1",IF(Y30=S30,"C2",IF(Y30=X30,"C3")))</f>
        <v>C1</v>
      </c>
      <c r="AB30" s="10">
        <v>5</v>
      </c>
      <c r="AC30" s="10">
        <v>3.5</v>
      </c>
      <c r="AD30" s="10">
        <v>1.6</v>
      </c>
      <c r="AE30" s="10">
        <v>0.6</v>
      </c>
      <c r="AF30" s="11" t="s">
        <v>5</v>
      </c>
      <c r="AG30" s="10" t="s">
        <v>16</v>
      </c>
      <c r="AP30" s="10">
        <v>6.5</v>
      </c>
      <c r="AQ30" s="10">
        <v>3</v>
      </c>
      <c r="AR30" s="10">
        <v>5.8</v>
      </c>
      <c r="AS30" s="10">
        <v>2.2000000000000002</v>
      </c>
      <c r="AT30" s="11" t="s">
        <v>7</v>
      </c>
      <c r="AU30" s="10" t="s">
        <v>18</v>
      </c>
    </row>
    <row r="31" spans="1:47" x14ac:dyDescent="0.2">
      <c r="A31">
        <v>5.5</v>
      </c>
      <c r="B31">
        <v>3.5</v>
      </c>
      <c r="C31">
        <v>1.3</v>
      </c>
      <c r="D31">
        <v>0.2</v>
      </c>
      <c r="E31" s="3" t="s">
        <v>5</v>
      </c>
      <c r="J31" s="2">
        <f>POWER(J$4-A31,2)</f>
        <v>8.99999999999999E-2</v>
      </c>
      <c r="K31" s="2">
        <f>POWER(K$4-B31,2)</f>
        <v>0.25</v>
      </c>
      <c r="L31" s="2">
        <f>POWER(L$4-C31,2)</f>
        <v>1.0000000000000018E-2</v>
      </c>
      <c r="M31" s="2">
        <f>POWER(M$4-D31,2)</f>
        <v>0</v>
      </c>
      <c r="N31" s="7">
        <f t="shared" si="2"/>
        <v>0.59160797830996159</v>
      </c>
      <c r="O31" s="2">
        <f>POWER(O$4-A31,2)</f>
        <v>9.9999999999999291E-3</v>
      </c>
      <c r="P31" s="2">
        <f>POWER(P$4-B31,2)</f>
        <v>0.25</v>
      </c>
      <c r="Q31" s="2">
        <f>POWER(Q$4-C31,2)</f>
        <v>10.240000000000002</v>
      </c>
      <c r="R31" s="2">
        <f>POWER(R$4-D31,2)</f>
        <v>1.6900000000000002</v>
      </c>
      <c r="S31" s="7">
        <f t="shared" si="3"/>
        <v>3.4914180500192185</v>
      </c>
      <c r="T31" s="2">
        <f>POWER(T$4-A31,2)</f>
        <v>0.3599999999999996</v>
      </c>
      <c r="U31" s="2">
        <f>POWER(U$4-B31,2)</f>
        <v>0.25</v>
      </c>
      <c r="V31" s="2">
        <f>POWER(V$4-C31,2)</f>
        <v>12.960000000000004</v>
      </c>
      <c r="W31" s="2">
        <f>POWER(W$4-D31,2)</f>
        <v>2.5600000000000005</v>
      </c>
      <c r="X31" s="7">
        <f t="shared" si="4"/>
        <v>4.0162171256046406</v>
      </c>
      <c r="Y31" s="9">
        <f t="shared" si="5"/>
        <v>0.59160797830996159</v>
      </c>
      <c r="Z31" t="str">
        <f>IF(Y31=N31,"C1",IF(Y31=S31,"C2",IF(Y31=X31,"C3")))</f>
        <v>C1</v>
      </c>
      <c r="AB31" s="10">
        <v>5.0999999999999996</v>
      </c>
      <c r="AC31" s="10">
        <v>3.8</v>
      </c>
      <c r="AD31" s="10">
        <v>1.9</v>
      </c>
      <c r="AE31" s="10">
        <v>0.4</v>
      </c>
      <c r="AF31" s="11" t="s">
        <v>5</v>
      </c>
      <c r="AG31" s="10" t="s">
        <v>16</v>
      </c>
      <c r="AP31" s="10">
        <v>7.6</v>
      </c>
      <c r="AQ31" s="10">
        <v>3</v>
      </c>
      <c r="AR31" s="10">
        <v>6.6</v>
      </c>
      <c r="AS31" s="10">
        <v>2.1</v>
      </c>
      <c r="AT31" s="11" t="s">
        <v>7</v>
      </c>
      <c r="AU31" s="10" t="s">
        <v>18</v>
      </c>
    </row>
    <row r="32" spans="1:47" x14ac:dyDescent="0.2">
      <c r="A32">
        <v>4.9000000000000004</v>
      </c>
      <c r="B32">
        <v>3.1</v>
      </c>
      <c r="C32">
        <v>1.5</v>
      </c>
      <c r="D32">
        <v>0.1</v>
      </c>
      <c r="E32" s="3" t="s">
        <v>5</v>
      </c>
      <c r="J32" s="2">
        <f>POWER(J$4-A32,2)</f>
        <v>0.80999999999999905</v>
      </c>
      <c r="K32" s="2">
        <f>POWER(K$4-B32,2)</f>
        <v>0.80999999999999983</v>
      </c>
      <c r="L32" s="2">
        <f>POWER(L$4-C32,2)</f>
        <v>9.0000000000000024E-2</v>
      </c>
      <c r="M32" s="2">
        <f>POWER(M$4-D32,2)</f>
        <v>1.0000000000000002E-2</v>
      </c>
      <c r="N32" s="7">
        <f t="shared" si="2"/>
        <v>1.3114877048603997</v>
      </c>
      <c r="O32" s="2">
        <f>POWER(O$4-A32,2)</f>
        <v>0.48999999999999899</v>
      </c>
      <c r="P32" s="2">
        <f>POWER(P$4-B32,2)</f>
        <v>1.0000000000000018E-2</v>
      </c>
      <c r="Q32" s="2">
        <f>POWER(Q$4-C32,2)</f>
        <v>9</v>
      </c>
      <c r="R32" s="2">
        <f>POWER(R$4-D32,2)</f>
        <v>1.9599999999999997</v>
      </c>
      <c r="S32" s="7">
        <f t="shared" si="3"/>
        <v>3.3852621759621511</v>
      </c>
      <c r="T32" s="2">
        <f>POWER(T$4-A32,2)</f>
        <v>1.4399999999999984</v>
      </c>
      <c r="U32" s="2">
        <f>POWER(U$4-B32,2)</f>
        <v>1.0000000000000018E-2</v>
      </c>
      <c r="V32" s="2">
        <f>POWER(V$4-C32,2)</f>
        <v>11.560000000000002</v>
      </c>
      <c r="W32" s="2">
        <f>POWER(W$4-D32,2)</f>
        <v>2.8899999999999997</v>
      </c>
      <c r="X32" s="7">
        <f t="shared" si="4"/>
        <v>3.9874804074753776</v>
      </c>
      <c r="Y32" s="9">
        <f t="shared" si="5"/>
        <v>1.3114877048603997</v>
      </c>
      <c r="Z32" t="str">
        <f>IF(Y32=N32,"C1",IF(Y32=S32,"C2",IF(Y32=X32,"C3")))</f>
        <v>C1</v>
      </c>
      <c r="AB32" s="10">
        <v>4.8</v>
      </c>
      <c r="AC32" s="10">
        <v>3</v>
      </c>
      <c r="AD32" s="10">
        <v>1.4</v>
      </c>
      <c r="AE32" s="10">
        <v>0.3</v>
      </c>
      <c r="AF32" s="11" t="s">
        <v>5</v>
      </c>
      <c r="AG32" s="10" t="s">
        <v>16</v>
      </c>
      <c r="AP32" s="10">
        <v>5.7</v>
      </c>
      <c r="AQ32" s="10">
        <v>2.5</v>
      </c>
      <c r="AR32" s="10">
        <v>5</v>
      </c>
      <c r="AS32" s="10">
        <v>2</v>
      </c>
      <c r="AT32" s="11" t="s">
        <v>7</v>
      </c>
      <c r="AU32" s="10" t="s">
        <v>18</v>
      </c>
    </row>
    <row r="33" spans="1:47" x14ac:dyDescent="0.2">
      <c r="A33">
        <v>4.4000000000000004</v>
      </c>
      <c r="B33">
        <v>3</v>
      </c>
      <c r="C33">
        <v>1.3</v>
      </c>
      <c r="D33">
        <v>0.2</v>
      </c>
      <c r="E33" s="3" t="s">
        <v>5</v>
      </c>
      <c r="J33" s="2">
        <f>POWER(J$4-A33,2)</f>
        <v>1.9599999999999984</v>
      </c>
      <c r="K33" s="2">
        <f>POWER(K$4-B33,2)</f>
        <v>1</v>
      </c>
      <c r="L33" s="2">
        <f>POWER(L$4-C33,2)</f>
        <v>1.0000000000000018E-2</v>
      </c>
      <c r="M33" s="2">
        <f>POWER(M$4-D33,2)</f>
        <v>0</v>
      </c>
      <c r="N33" s="7">
        <f t="shared" si="2"/>
        <v>1.7233687939614082</v>
      </c>
      <c r="O33" s="2">
        <f>POWER(O$4-A33,2)</f>
        <v>1.4399999999999984</v>
      </c>
      <c r="P33" s="2">
        <f>POWER(P$4-B33,2)</f>
        <v>0</v>
      </c>
      <c r="Q33" s="2">
        <f>POWER(Q$4-C33,2)</f>
        <v>10.240000000000002</v>
      </c>
      <c r="R33" s="2">
        <f>POWER(R$4-D33,2)</f>
        <v>1.6900000000000002</v>
      </c>
      <c r="S33" s="7">
        <f t="shared" si="3"/>
        <v>3.6565010597564442</v>
      </c>
      <c r="T33" s="2">
        <f>POWER(T$4-A33,2)</f>
        <v>2.8899999999999975</v>
      </c>
      <c r="U33" s="2">
        <f>POWER(U$4-B33,2)</f>
        <v>0</v>
      </c>
      <c r="V33" s="2">
        <f>POWER(V$4-C33,2)</f>
        <v>12.960000000000004</v>
      </c>
      <c r="W33" s="2">
        <f>POWER(W$4-D33,2)</f>
        <v>2.5600000000000005</v>
      </c>
      <c r="X33" s="7">
        <f t="shared" si="4"/>
        <v>4.2906875905849873</v>
      </c>
      <c r="Y33" s="9">
        <f t="shared" si="5"/>
        <v>1.7233687939614082</v>
      </c>
      <c r="Z33" t="str">
        <f>IF(Y33=N33,"C1",IF(Y33=S33,"C2",IF(Y33=X33,"C3")))</f>
        <v>C1</v>
      </c>
      <c r="AB33" s="10">
        <v>5.0999999999999996</v>
      </c>
      <c r="AC33" s="10">
        <v>3.8</v>
      </c>
      <c r="AD33" s="10">
        <v>1.6</v>
      </c>
      <c r="AE33" s="10">
        <v>0.2</v>
      </c>
      <c r="AF33" s="11" t="s">
        <v>5</v>
      </c>
      <c r="AG33" s="10" t="s">
        <v>16</v>
      </c>
      <c r="AP33" s="10">
        <v>5.8</v>
      </c>
      <c r="AQ33" s="10">
        <v>2.8</v>
      </c>
      <c r="AR33" s="10">
        <v>5.0999999999999996</v>
      </c>
      <c r="AS33" s="10">
        <v>2.4</v>
      </c>
      <c r="AT33" s="11" t="s">
        <v>7</v>
      </c>
      <c r="AU33" s="10" t="s">
        <v>18</v>
      </c>
    </row>
    <row r="34" spans="1:47" x14ac:dyDescent="0.2">
      <c r="A34">
        <v>5.0999999999999996</v>
      </c>
      <c r="B34">
        <v>3.4</v>
      </c>
      <c r="C34">
        <v>1.5</v>
      </c>
      <c r="D34">
        <v>0.2</v>
      </c>
      <c r="E34" s="3" t="s">
        <v>5</v>
      </c>
      <c r="J34" s="2">
        <f>POWER(J$4-A34,2)</f>
        <v>0.49000000000000027</v>
      </c>
      <c r="K34" s="2">
        <f>POWER(K$4-B34,2)</f>
        <v>0.3600000000000001</v>
      </c>
      <c r="L34" s="2">
        <f>POWER(L$4-C34,2)</f>
        <v>9.0000000000000024E-2</v>
      </c>
      <c r="M34" s="2">
        <f>POWER(M$4-D34,2)</f>
        <v>0</v>
      </c>
      <c r="N34" s="7">
        <f t="shared" si="2"/>
        <v>0.96953597148326598</v>
      </c>
      <c r="O34" s="2">
        <f>POWER(O$4-A34,2)</f>
        <v>0.25</v>
      </c>
      <c r="P34" s="2">
        <f>POWER(P$4-B34,2)</f>
        <v>0.15999999999999992</v>
      </c>
      <c r="Q34" s="2">
        <f>POWER(Q$4-C34,2)</f>
        <v>9</v>
      </c>
      <c r="R34" s="2">
        <f>POWER(R$4-D34,2)</f>
        <v>1.6900000000000002</v>
      </c>
      <c r="S34" s="7">
        <f t="shared" si="3"/>
        <v>3.3316662497915361</v>
      </c>
      <c r="T34" s="2">
        <f>POWER(T$4-A34,2)</f>
        <v>1</v>
      </c>
      <c r="U34" s="2">
        <f>POWER(U$4-B34,2)</f>
        <v>0.15999999999999992</v>
      </c>
      <c r="V34" s="2">
        <f>POWER(V$4-C34,2)</f>
        <v>11.560000000000002</v>
      </c>
      <c r="W34" s="2">
        <f>POWER(W$4-D34,2)</f>
        <v>2.5600000000000005</v>
      </c>
      <c r="X34" s="7">
        <f t="shared" si="4"/>
        <v>3.9089640571384132</v>
      </c>
      <c r="Y34" s="9">
        <f t="shared" si="5"/>
        <v>0.96953597148326598</v>
      </c>
      <c r="Z34" t="str">
        <f>IF(Y34=N34,"C1",IF(Y34=S34,"C2",IF(Y34=X34,"C3")))</f>
        <v>C1</v>
      </c>
      <c r="AB34" s="10">
        <v>4.5999999999999996</v>
      </c>
      <c r="AC34" s="10">
        <v>3.2</v>
      </c>
      <c r="AD34" s="10">
        <v>1.4</v>
      </c>
      <c r="AE34" s="10">
        <v>0.2</v>
      </c>
      <c r="AF34" s="11" t="s">
        <v>5</v>
      </c>
      <c r="AG34" s="10" t="s">
        <v>16</v>
      </c>
      <c r="AP34" s="10">
        <v>6.4</v>
      </c>
      <c r="AQ34" s="10">
        <v>3.2</v>
      </c>
      <c r="AR34" s="10">
        <v>5.3</v>
      </c>
      <c r="AS34" s="10">
        <v>2.2999999999999998</v>
      </c>
      <c r="AT34" s="11" t="s">
        <v>7</v>
      </c>
      <c r="AU34" s="10" t="s">
        <v>18</v>
      </c>
    </row>
    <row r="35" spans="1:47" x14ac:dyDescent="0.2">
      <c r="A35">
        <v>5</v>
      </c>
      <c r="B35">
        <v>3.5</v>
      </c>
      <c r="C35">
        <v>1.3</v>
      </c>
      <c r="D35">
        <v>0.3</v>
      </c>
      <c r="E35" s="3" t="s">
        <v>5</v>
      </c>
      <c r="J35" s="2">
        <f>POWER(J$4-A35,2)</f>
        <v>0.63999999999999968</v>
      </c>
      <c r="K35" s="2">
        <f>POWER(K$4-B35,2)</f>
        <v>0.25</v>
      </c>
      <c r="L35" s="2">
        <f>POWER(L$4-C35,2)</f>
        <v>1.0000000000000018E-2</v>
      </c>
      <c r="M35" s="2">
        <f>POWER(M$4-D35,2)</f>
        <v>9.999999999999995E-3</v>
      </c>
      <c r="N35" s="7">
        <f t="shared" si="2"/>
        <v>0.95393920141694544</v>
      </c>
      <c r="O35" s="2">
        <f>POWER(O$4-A35,2)</f>
        <v>0.3599999999999996</v>
      </c>
      <c r="P35" s="2">
        <f>POWER(P$4-B35,2)</f>
        <v>0.25</v>
      </c>
      <c r="Q35" s="2">
        <f>POWER(Q$4-C35,2)</f>
        <v>10.240000000000002</v>
      </c>
      <c r="R35" s="2">
        <f>POWER(R$4-D35,2)</f>
        <v>1.44</v>
      </c>
      <c r="S35" s="7">
        <f t="shared" si="3"/>
        <v>3.5057096285916209</v>
      </c>
      <c r="T35" s="2">
        <f>POWER(T$4-A35,2)</f>
        <v>1.2099999999999993</v>
      </c>
      <c r="U35" s="2">
        <f>POWER(U$4-B35,2)</f>
        <v>0.25</v>
      </c>
      <c r="V35" s="2">
        <f>POWER(V$4-C35,2)</f>
        <v>12.960000000000004</v>
      </c>
      <c r="W35" s="2">
        <f>POWER(W$4-D35,2)</f>
        <v>2.25</v>
      </c>
      <c r="X35" s="7">
        <f t="shared" si="4"/>
        <v>4.0828911325187205</v>
      </c>
      <c r="Y35" s="9">
        <f t="shared" si="5"/>
        <v>0.95393920141694544</v>
      </c>
      <c r="Z35" t="str">
        <f>IF(Y35=N35,"C1",IF(Y35=S35,"C2",IF(Y35=X35,"C3")))</f>
        <v>C1</v>
      </c>
      <c r="AB35" s="10">
        <v>5.3</v>
      </c>
      <c r="AC35" s="10">
        <v>3.7</v>
      </c>
      <c r="AD35" s="10">
        <v>1.5</v>
      </c>
      <c r="AE35" s="10">
        <v>0.2</v>
      </c>
      <c r="AF35" s="11" t="s">
        <v>5</v>
      </c>
      <c r="AG35" s="10" t="s">
        <v>16</v>
      </c>
      <c r="AP35" s="10">
        <v>6.5</v>
      </c>
      <c r="AQ35" s="10">
        <v>3</v>
      </c>
      <c r="AR35" s="10">
        <v>5.5</v>
      </c>
      <c r="AS35" s="10">
        <v>1.8</v>
      </c>
      <c r="AT35" s="11" t="s">
        <v>7</v>
      </c>
      <c r="AU35" s="10" t="s">
        <v>18</v>
      </c>
    </row>
    <row r="36" spans="1:47" x14ac:dyDescent="0.2">
      <c r="A36">
        <v>4.5</v>
      </c>
      <c r="B36">
        <v>2.2999999999999998</v>
      </c>
      <c r="C36">
        <v>1.3</v>
      </c>
      <c r="D36">
        <v>0.3</v>
      </c>
      <c r="E36" s="3" t="s">
        <v>5</v>
      </c>
      <c r="J36" s="2">
        <f>POWER(J$4-A36,2)</f>
        <v>1.6899999999999995</v>
      </c>
      <c r="K36" s="2">
        <f>POWER(K$4-B36,2)</f>
        <v>2.8900000000000006</v>
      </c>
      <c r="L36" s="2">
        <f>POWER(L$4-C36,2)</f>
        <v>1.0000000000000018E-2</v>
      </c>
      <c r="M36" s="2">
        <f>POWER(M$4-D36,2)</f>
        <v>9.999999999999995E-3</v>
      </c>
      <c r="N36" s="7">
        <f t="shared" si="2"/>
        <v>2.1447610589527217</v>
      </c>
      <c r="O36" s="2">
        <f>POWER(O$4-A36,2)</f>
        <v>1.2099999999999993</v>
      </c>
      <c r="P36" s="2">
        <f>POWER(P$4-B36,2)</f>
        <v>0.49000000000000027</v>
      </c>
      <c r="Q36" s="2">
        <f>POWER(Q$4-C36,2)</f>
        <v>10.240000000000002</v>
      </c>
      <c r="R36" s="2">
        <f>POWER(R$4-D36,2)</f>
        <v>1.44</v>
      </c>
      <c r="S36" s="7">
        <f t="shared" si="3"/>
        <v>3.6578682316343767</v>
      </c>
      <c r="T36" s="2">
        <f>POWER(T$4-A36,2)</f>
        <v>2.5599999999999987</v>
      </c>
      <c r="U36" s="2">
        <f>POWER(U$4-B36,2)</f>
        <v>0.49000000000000027</v>
      </c>
      <c r="V36" s="2">
        <f>POWER(V$4-C36,2)</f>
        <v>12.960000000000004</v>
      </c>
      <c r="W36" s="2">
        <f>POWER(W$4-D36,2)</f>
        <v>2.25</v>
      </c>
      <c r="X36" s="7">
        <f t="shared" si="4"/>
        <v>4.2731721238442999</v>
      </c>
      <c r="Y36" s="9">
        <f t="shared" si="5"/>
        <v>2.1447610589527217</v>
      </c>
      <c r="Z36" t="str">
        <f>IF(Y36=N36,"C1",IF(Y36=S36,"C2",IF(Y36=X36,"C3")))</f>
        <v>C1</v>
      </c>
      <c r="AB36" s="10">
        <v>5</v>
      </c>
      <c r="AC36" s="10">
        <v>3.3</v>
      </c>
      <c r="AD36" s="10">
        <v>1.4</v>
      </c>
      <c r="AE36" s="10">
        <v>0.2</v>
      </c>
      <c r="AF36" s="11" t="s">
        <v>5</v>
      </c>
      <c r="AG36" s="10" t="s">
        <v>16</v>
      </c>
      <c r="AP36" s="10">
        <v>7.7</v>
      </c>
      <c r="AQ36" s="10">
        <v>3.8</v>
      </c>
      <c r="AR36" s="10">
        <v>6.7</v>
      </c>
      <c r="AS36" s="10">
        <v>2.2000000000000002</v>
      </c>
      <c r="AT36" s="11" t="s">
        <v>7</v>
      </c>
      <c r="AU36" s="10" t="s">
        <v>18</v>
      </c>
    </row>
    <row r="37" spans="1:47" x14ac:dyDescent="0.2">
      <c r="A37">
        <v>4.4000000000000004</v>
      </c>
      <c r="B37">
        <v>3.2</v>
      </c>
      <c r="C37">
        <v>1.3</v>
      </c>
      <c r="D37">
        <v>0.2</v>
      </c>
      <c r="E37" s="3" t="s">
        <v>5</v>
      </c>
      <c r="J37" s="2">
        <f>POWER(J$4-A37,2)</f>
        <v>1.9599999999999984</v>
      </c>
      <c r="K37" s="2">
        <f>POWER(K$4-B37,2)</f>
        <v>0.63999999999999968</v>
      </c>
      <c r="L37" s="2">
        <f>POWER(L$4-C37,2)</f>
        <v>1.0000000000000018E-2</v>
      </c>
      <c r="M37" s="2">
        <f>POWER(M$4-D37,2)</f>
        <v>0</v>
      </c>
      <c r="N37" s="7">
        <f t="shared" si="2"/>
        <v>1.6155494421403507</v>
      </c>
      <c r="O37" s="2">
        <f>POWER(O$4-A37,2)</f>
        <v>1.4399999999999984</v>
      </c>
      <c r="P37" s="2">
        <f>POWER(P$4-B37,2)</f>
        <v>4.000000000000007E-2</v>
      </c>
      <c r="Q37" s="2">
        <f>POWER(Q$4-C37,2)</f>
        <v>10.240000000000002</v>
      </c>
      <c r="R37" s="2">
        <f>POWER(R$4-D37,2)</f>
        <v>1.6900000000000002</v>
      </c>
      <c r="S37" s="7">
        <f t="shared" si="3"/>
        <v>3.6619666847201109</v>
      </c>
      <c r="T37" s="2">
        <f>POWER(T$4-A37,2)</f>
        <v>2.8899999999999975</v>
      </c>
      <c r="U37" s="2">
        <f>POWER(U$4-B37,2)</f>
        <v>4.000000000000007E-2</v>
      </c>
      <c r="V37" s="2">
        <f>POWER(V$4-C37,2)</f>
        <v>12.960000000000004</v>
      </c>
      <c r="W37" s="2">
        <f>POWER(W$4-D37,2)</f>
        <v>2.5600000000000005</v>
      </c>
      <c r="X37" s="7">
        <f t="shared" si="4"/>
        <v>4.2953463189829062</v>
      </c>
      <c r="Y37" s="9">
        <f t="shared" si="5"/>
        <v>1.6155494421403507</v>
      </c>
      <c r="Z37" t="str">
        <f>IF(Y37=N37,"C1",IF(Y37=S37,"C2",IF(Y37=X37,"C3")))</f>
        <v>C1</v>
      </c>
      <c r="AB37" s="10">
        <v>5</v>
      </c>
      <c r="AC37" s="10">
        <v>3.4</v>
      </c>
      <c r="AD37" s="10">
        <v>1.5</v>
      </c>
      <c r="AE37" s="10">
        <v>0.2</v>
      </c>
      <c r="AF37" s="11" t="s">
        <v>5</v>
      </c>
      <c r="AG37" s="10" t="s">
        <v>16</v>
      </c>
      <c r="AP37" s="10">
        <v>7.7</v>
      </c>
      <c r="AQ37" s="10">
        <v>2.6</v>
      </c>
      <c r="AR37" s="10">
        <v>6.9</v>
      </c>
      <c r="AS37" s="10">
        <v>2.2999999999999998</v>
      </c>
      <c r="AT37" s="11" t="s">
        <v>7</v>
      </c>
      <c r="AU37" s="10" t="s">
        <v>18</v>
      </c>
    </row>
    <row r="38" spans="1:47" x14ac:dyDescent="0.2">
      <c r="A38">
        <v>5</v>
      </c>
      <c r="B38">
        <v>3.5</v>
      </c>
      <c r="C38">
        <v>1.6</v>
      </c>
      <c r="D38">
        <v>0.6</v>
      </c>
      <c r="E38" s="3" t="s">
        <v>5</v>
      </c>
      <c r="J38" s="2">
        <f>POWER(J$4-A38,2)</f>
        <v>0.63999999999999968</v>
      </c>
      <c r="K38" s="2">
        <f>POWER(K$4-B38,2)</f>
        <v>0.25</v>
      </c>
      <c r="L38" s="2">
        <f>POWER(L$4-C38,2)</f>
        <v>0.16000000000000011</v>
      </c>
      <c r="M38" s="2">
        <f>POWER(M$4-D38,2)</f>
        <v>0.15999999999999998</v>
      </c>
      <c r="N38" s="7">
        <f t="shared" si="2"/>
        <v>1.0999999999999999</v>
      </c>
      <c r="O38" s="2">
        <f>POWER(O$4-A38,2)</f>
        <v>0.3599999999999996</v>
      </c>
      <c r="P38" s="2">
        <f>POWER(P$4-B38,2)</f>
        <v>0.25</v>
      </c>
      <c r="Q38" s="2">
        <f>POWER(Q$4-C38,2)</f>
        <v>8.41</v>
      </c>
      <c r="R38" s="2">
        <f>POWER(R$4-D38,2)</f>
        <v>0.81</v>
      </c>
      <c r="S38" s="7">
        <f t="shared" si="3"/>
        <v>3.1352830813181765</v>
      </c>
      <c r="T38" s="2">
        <f>POWER(T$4-A38,2)</f>
        <v>1.2099999999999993</v>
      </c>
      <c r="U38" s="2">
        <f>POWER(U$4-B38,2)</f>
        <v>0.25</v>
      </c>
      <c r="V38" s="2">
        <f>POWER(V$4-C38,2)</f>
        <v>10.890000000000002</v>
      </c>
      <c r="W38" s="2">
        <f>POWER(W$4-D38,2)</f>
        <v>1.4400000000000004</v>
      </c>
      <c r="X38" s="7">
        <f t="shared" si="4"/>
        <v>3.7134889255254286</v>
      </c>
      <c r="Y38" s="9">
        <f t="shared" si="5"/>
        <v>1.0999999999999999</v>
      </c>
      <c r="Z38" t="str">
        <f>IF(Y38=N38,"C1",IF(Y38=S38,"C2",IF(Y38=X38,"C3")))</f>
        <v>C1</v>
      </c>
      <c r="AB38" s="10">
        <v>4.4000000000000004</v>
      </c>
      <c r="AC38" s="10">
        <v>2.9</v>
      </c>
      <c r="AD38" s="10">
        <v>1.4</v>
      </c>
      <c r="AE38" s="10">
        <v>0.2</v>
      </c>
      <c r="AF38" s="11" t="s">
        <v>5</v>
      </c>
      <c r="AG38" s="10" t="s">
        <v>16</v>
      </c>
      <c r="AP38" s="10">
        <v>6</v>
      </c>
      <c r="AQ38" s="10">
        <v>2.2000000000000002</v>
      </c>
      <c r="AR38" s="10">
        <v>5</v>
      </c>
      <c r="AS38" s="10">
        <v>1.5</v>
      </c>
      <c r="AT38" s="11" t="s">
        <v>7</v>
      </c>
      <c r="AU38" s="10" t="s">
        <v>18</v>
      </c>
    </row>
    <row r="39" spans="1:47" x14ac:dyDescent="0.2">
      <c r="A39">
        <v>5.0999999999999996</v>
      </c>
      <c r="B39">
        <v>3.8</v>
      </c>
      <c r="C39">
        <v>1.9</v>
      </c>
      <c r="D39">
        <v>0.4</v>
      </c>
      <c r="E39" s="3" t="s">
        <v>5</v>
      </c>
      <c r="J39" s="2">
        <f>POWER(J$4-A39,2)</f>
        <v>0.49000000000000027</v>
      </c>
      <c r="K39" s="2">
        <f>POWER(K$4-B39,2)</f>
        <v>4.000000000000007E-2</v>
      </c>
      <c r="L39" s="2">
        <f>POWER(L$4-C39,2)</f>
        <v>0.48999999999999994</v>
      </c>
      <c r="M39" s="2">
        <f>POWER(M$4-D39,2)</f>
        <v>4.0000000000000008E-2</v>
      </c>
      <c r="N39" s="7">
        <f t="shared" si="2"/>
        <v>1.0295630140987002</v>
      </c>
      <c r="O39" s="2">
        <f>POWER(O$4-A39,2)</f>
        <v>0.25</v>
      </c>
      <c r="P39" s="2">
        <f>POWER(P$4-B39,2)</f>
        <v>0.63999999999999968</v>
      </c>
      <c r="Q39" s="2">
        <f>POWER(Q$4-C39,2)</f>
        <v>6.7600000000000007</v>
      </c>
      <c r="R39" s="2">
        <f>POWER(R$4-D39,2)</f>
        <v>1.2100000000000002</v>
      </c>
      <c r="S39" s="7">
        <f t="shared" si="3"/>
        <v>2.9765752132274437</v>
      </c>
      <c r="T39" s="2">
        <f>POWER(T$4-A39,2)</f>
        <v>1</v>
      </c>
      <c r="U39" s="2">
        <f>POWER(U$4-B39,2)</f>
        <v>0.63999999999999968</v>
      </c>
      <c r="V39" s="2">
        <f>POWER(V$4-C39,2)</f>
        <v>9.0000000000000036</v>
      </c>
      <c r="W39" s="2">
        <f>POWER(W$4-D39,2)</f>
        <v>1.9599999999999997</v>
      </c>
      <c r="X39" s="7">
        <f t="shared" si="4"/>
        <v>3.5496478698597702</v>
      </c>
      <c r="Y39" s="9">
        <f t="shared" si="5"/>
        <v>1.0295630140987002</v>
      </c>
      <c r="Z39" t="str">
        <f>IF(Y39=N39,"C1",IF(Y39=S39,"C2",IF(Y39=X39,"C3")))</f>
        <v>C1</v>
      </c>
      <c r="AB39" s="10">
        <v>4.9000000000000004</v>
      </c>
      <c r="AC39" s="10">
        <v>3.1</v>
      </c>
      <c r="AD39" s="10">
        <v>1.5</v>
      </c>
      <c r="AE39" s="10">
        <v>0.1</v>
      </c>
      <c r="AF39" s="11" t="s">
        <v>5</v>
      </c>
      <c r="AG39" s="10" t="s">
        <v>16</v>
      </c>
      <c r="AP39" s="10">
        <v>6.9</v>
      </c>
      <c r="AQ39" s="10">
        <v>3.2</v>
      </c>
      <c r="AR39" s="10">
        <v>5.7</v>
      </c>
      <c r="AS39" s="10">
        <v>2.2999999999999998</v>
      </c>
      <c r="AT39" s="11" t="s">
        <v>7</v>
      </c>
      <c r="AU39" s="10" t="s">
        <v>18</v>
      </c>
    </row>
    <row r="40" spans="1:47" x14ac:dyDescent="0.2">
      <c r="A40">
        <v>4.8</v>
      </c>
      <c r="B40">
        <v>3</v>
      </c>
      <c r="C40">
        <v>1.4</v>
      </c>
      <c r="D40">
        <v>0.3</v>
      </c>
      <c r="E40" s="3" t="s">
        <v>5</v>
      </c>
      <c r="J40" s="2">
        <f>POWER(J$4-A40,2)</f>
        <v>1</v>
      </c>
      <c r="K40" s="2">
        <f>POWER(K$4-B40,2)</f>
        <v>1</v>
      </c>
      <c r="L40" s="2">
        <f>POWER(L$4-C40,2)</f>
        <v>3.999999999999998E-2</v>
      </c>
      <c r="M40" s="2">
        <f>POWER(M$4-D40,2)</f>
        <v>9.999999999999995E-3</v>
      </c>
      <c r="N40" s="7">
        <f t="shared" si="2"/>
        <v>1.4317821063276353</v>
      </c>
      <c r="O40" s="2">
        <f>POWER(O$4-A40,2)</f>
        <v>0.63999999999999968</v>
      </c>
      <c r="P40" s="2">
        <f>POWER(P$4-B40,2)</f>
        <v>0</v>
      </c>
      <c r="Q40" s="2">
        <f>POWER(Q$4-C40,2)</f>
        <v>9.6100000000000012</v>
      </c>
      <c r="R40" s="2">
        <f>POWER(R$4-D40,2)</f>
        <v>1.44</v>
      </c>
      <c r="S40" s="7">
        <f t="shared" si="3"/>
        <v>3.4190641994557516</v>
      </c>
      <c r="T40" s="2">
        <f>POWER(T$4-A40,2)</f>
        <v>1.6899999999999995</v>
      </c>
      <c r="U40" s="2">
        <f>POWER(U$4-B40,2)</f>
        <v>0</v>
      </c>
      <c r="V40" s="2">
        <f>POWER(V$4-C40,2)</f>
        <v>12.250000000000004</v>
      </c>
      <c r="W40" s="2">
        <f>POWER(W$4-D40,2)</f>
        <v>2.25</v>
      </c>
      <c r="X40" s="7">
        <f t="shared" si="4"/>
        <v>4.0236799077461427</v>
      </c>
      <c r="Y40" s="9">
        <f t="shared" si="5"/>
        <v>1.4317821063276353</v>
      </c>
      <c r="Z40" t="str">
        <f>IF(Y40=N40,"C1",IF(Y40=S40,"C2",IF(Y40=X40,"C3")))</f>
        <v>C1</v>
      </c>
      <c r="AB40" s="10">
        <v>5.4</v>
      </c>
      <c r="AC40" s="10">
        <v>3.7</v>
      </c>
      <c r="AD40" s="10">
        <v>1.5</v>
      </c>
      <c r="AE40" s="10">
        <v>0.2</v>
      </c>
      <c r="AF40" s="11" t="s">
        <v>5</v>
      </c>
      <c r="AG40" s="10" t="s">
        <v>16</v>
      </c>
      <c r="AP40" s="10">
        <v>5.6</v>
      </c>
      <c r="AQ40" s="10">
        <v>2.8</v>
      </c>
      <c r="AR40" s="10">
        <v>4.9000000000000004</v>
      </c>
      <c r="AS40" s="10">
        <v>2</v>
      </c>
      <c r="AT40" s="11" t="s">
        <v>7</v>
      </c>
      <c r="AU40" s="10" t="s">
        <v>18</v>
      </c>
    </row>
    <row r="41" spans="1:47" x14ac:dyDescent="0.2">
      <c r="A41">
        <v>5.0999999999999996</v>
      </c>
      <c r="B41">
        <v>3.8</v>
      </c>
      <c r="C41">
        <v>1.6</v>
      </c>
      <c r="D41">
        <v>0.2</v>
      </c>
      <c r="E41" s="3" t="s">
        <v>5</v>
      </c>
      <c r="J41" s="2">
        <f>POWER(J$4-A41,2)</f>
        <v>0.49000000000000027</v>
      </c>
      <c r="K41" s="2">
        <f>POWER(K$4-B41,2)</f>
        <v>4.000000000000007E-2</v>
      </c>
      <c r="L41" s="2">
        <f>POWER(L$4-C41,2)</f>
        <v>0.16000000000000011</v>
      </c>
      <c r="M41" s="2">
        <f>POWER(M$4-D41,2)</f>
        <v>0</v>
      </c>
      <c r="N41" s="7">
        <f t="shared" si="2"/>
        <v>0.83066238629180777</v>
      </c>
      <c r="O41" s="2">
        <f>POWER(O$4-A41,2)</f>
        <v>0.25</v>
      </c>
      <c r="P41" s="2">
        <f>POWER(P$4-B41,2)</f>
        <v>0.63999999999999968</v>
      </c>
      <c r="Q41" s="2">
        <f>POWER(Q$4-C41,2)</f>
        <v>8.41</v>
      </c>
      <c r="R41" s="2">
        <f>POWER(R$4-D41,2)</f>
        <v>1.6900000000000002</v>
      </c>
      <c r="S41" s="7">
        <f t="shared" si="3"/>
        <v>3.3151168908501552</v>
      </c>
      <c r="T41" s="2">
        <f>POWER(T$4-A41,2)</f>
        <v>1</v>
      </c>
      <c r="U41" s="2">
        <f>POWER(U$4-B41,2)</f>
        <v>0.63999999999999968</v>
      </c>
      <c r="V41" s="2">
        <f>POWER(V$4-C41,2)</f>
        <v>10.890000000000002</v>
      </c>
      <c r="W41" s="2">
        <f>POWER(W$4-D41,2)</f>
        <v>2.5600000000000005</v>
      </c>
      <c r="X41" s="7">
        <f t="shared" si="4"/>
        <v>3.8845849199110067</v>
      </c>
      <c r="Y41" s="9">
        <f t="shared" si="5"/>
        <v>0.83066238629180777</v>
      </c>
      <c r="Z41" t="str">
        <f>IF(Y41=N41,"C1",IF(Y41=S41,"C2",IF(Y41=X41,"C3")))</f>
        <v>C1</v>
      </c>
      <c r="AB41" s="10">
        <v>4.8</v>
      </c>
      <c r="AC41" s="10">
        <v>3.4</v>
      </c>
      <c r="AD41" s="10">
        <v>1.6</v>
      </c>
      <c r="AE41" s="10">
        <v>0.2</v>
      </c>
      <c r="AF41" s="11" t="s">
        <v>5</v>
      </c>
      <c r="AG41" s="10" t="s">
        <v>16</v>
      </c>
      <c r="AP41" s="10">
        <v>7.7</v>
      </c>
      <c r="AQ41" s="10">
        <v>2.8</v>
      </c>
      <c r="AR41" s="10">
        <v>6.7</v>
      </c>
      <c r="AS41" s="10">
        <v>2</v>
      </c>
      <c r="AT41" s="11" t="s">
        <v>7</v>
      </c>
      <c r="AU41" s="10" t="s">
        <v>18</v>
      </c>
    </row>
    <row r="42" spans="1:47" x14ac:dyDescent="0.2">
      <c r="A42">
        <v>4.5999999999999996</v>
      </c>
      <c r="B42">
        <v>3.2</v>
      </c>
      <c r="C42">
        <v>1.4</v>
      </c>
      <c r="D42">
        <v>0.2</v>
      </c>
      <c r="E42" s="3" t="s">
        <v>5</v>
      </c>
      <c r="J42" s="2">
        <f>POWER(J$4-A42,2)</f>
        <v>1.4400000000000004</v>
      </c>
      <c r="K42" s="2">
        <f>POWER(K$4-B42,2)</f>
        <v>0.63999999999999968</v>
      </c>
      <c r="L42" s="2">
        <f>POWER(L$4-C42,2)</f>
        <v>3.999999999999998E-2</v>
      </c>
      <c r="M42" s="2">
        <f>POWER(M$4-D42,2)</f>
        <v>0</v>
      </c>
      <c r="N42" s="7">
        <f t="shared" si="2"/>
        <v>1.4560219778561037</v>
      </c>
      <c r="O42" s="2">
        <f>POWER(O$4-A42,2)</f>
        <v>1</v>
      </c>
      <c r="P42" s="2">
        <f>POWER(P$4-B42,2)</f>
        <v>4.000000000000007E-2</v>
      </c>
      <c r="Q42" s="2">
        <f>POWER(Q$4-C42,2)</f>
        <v>9.6100000000000012</v>
      </c>
      <c r="R42" s="2">
        <f>POWER(R$4-D42,2)</f>
        <v>1.6900000000000002</v>
      </c>
      <c r="S42" s="7">
        <f t="shared" si="3"/>
        <v>3.5128336140500593</v>
      </c>
      <c r="T42" s="2">
        <f>POWER(T$4-A42,2)</f>
        <v>2.25</v>
      </c>
      <c r="U42" s="2">
        <f>POWER(U$4-B42,2)</f>
        <v>4.000000000000007E-2</v>
      </c>
      <c r="V42" s="2">
        <f>POWER(V$4-C42,2)</f>
        <v>12.250000000000004</v>
      </c>
      <c r="W42" s="2">
        <f>POWER(W$4-D42,2)</f>
        <v>2.5600000000000005</v>
      </c>
      <c r="X42" s="7">
        <f t="shared" si="4"/>
        <v>4.135214625627067</v>
      </c>
      <c r="Y42" s="9">
        <f t="shared" si="5"/>
        <v>1.4560219778561037</v>
      </c>
      <c r="Z42" t="str">
        <f>IF(Y42=N42,"C1",IF(Y42=S42,"C2",IF(Y42=X42,"C3")))</f>
        <v>C1</v>
      </c>
      <c r="AB42" s="10">
        <v>4.8</v>
      </c>
      <c r="AC42" s="10">
        <v>3</v>
      </c>
      <c r="AD42" s="10">
        <v>1.4</v>
      </c>
      <c r="AE42" s="10">
        <v>0.1</v>
      </c>
      <c r="AF42" s="11" t="s">
        <v>5</v>
      </c>
      <c r="AG42" s="10" t="s">
        <v>16</v>
      </c>
      <c r="AP42" s="10">
        <v>6.3</v>
      </c>
      <c r="AQ42" s="10">
        <v>2.7</v>
      </c>
      <c r="AR42" s="10">
        <v>4.9000000000000004</v>
      </c>
      <c r="AS42" s="10">
        <v>1.8</v>
      </c>
      <c r="AT42" s="11" t="s">
        <v>7</v>
      </c>
      <c r="AU42" s="10" t="s">
        <v>18</v>
      </c>
    </row>
    <row r="43" spans="1:47" x14ac:dyDescent="0.2">
      <c r="A43">
        <v>5.3</v>
      </c>
      <c r="B43">
        <v>3.7</v>
      </c>
      <c r="C43">
        <v>1.5</v>
      </c>
      <c r="D43">
        <v>0.2</v>
      </c>
      <c r="E43" s="3" t="s">
        <v>5</v>
      </c>
      <c r="J43" s="2">
        <f>POWER(J$4-A43,2)</f>
        <v>0.25</v>
      </c>
      <c r="K43" s="2">
        <f>POWER(K$4-B43,2)</f>
        <v>8.99999999999999E-2</v>
      </c>
      <c r="L43" s="2">
        <f>POWER(L$4-C43,2)</f>
        <v>9.0000000000000024E-2</v>
      </c>
      <c r="M43" s="2">
        <f>POWER(M$4-D43,2)</f>
        <v>0</v>
      </c>
      <c r="N43" s="7">
        <f t="shared" si="2"/>
        <v>0.65574385243020006</v>
      </c>
      <c r="O43" s="2">
        <f>POWER(O$4-A43,2)</f>
        <v>8.99999999999999E-2</v>
      </c>
      <c r="P43" s="2">
        <f>POWER(P$4-B43,2)</f>
        <v>0.49000000000000027</v>
      </c>
      <c r="Q43" s="2">
        <f>POWER(Q$4-C43,2)</f>
        <v>9</v>
      </c>
      <c r="R43" s="2">
        <f>POWER(R$4-D43,2)</f>
        <v>1.6900000000000002</v>
      </c>
      <c r="S43" s="7">
        <f t="shared" si="3"/>
        <v>3.3570820663189038</v>
      </c>
      <c r="T43" s="2">
        <f>POWER(T$4-A43,2)</f>
        <v>0.63999999999999968</v>
      </c>
      <c r="U43" s="2">
        <f>POWER(U$4-B43,2)</f>
        <v>0.49000000000000027</v>
      </c>
      <c r="V43" s="2">
        <f>POWER(V$4-C43,2)</f>
        <v>11.560000000000002</v>
      </c>
      <c r="W43" s="2">
        <f>POWER(W$4-D43,2)</f>
        <v>2.5600000000000005</v>
      </c>
      <c r="X43" s="7">
        <f t="shared" si="4"/>
        <v>3.9051248379533274</v>
      </c>
      <c r="Y43" s="9">
        <f t="shared" si="5"/>
        <v>0.65574385243020006</v>
      </c>
      <c r="Z43" t="str">
        <f>IF(Y43=N43,"C1",IF(Y43=S43,"C2",IF(Y43=X43,"C3")))</f>
        <v>C1</v>
      </c>
      <c r="AB43" s="10">
        <v>4.3</v>
      </c>
      <c r="AC43" s="10">
        <v>3</v>
      </c>
      <c r="AD43" s="10">
        <v>1.1000000000000001</v>
      </c>
      <c r="AE43" s="10">
        <v>0.1</v>
      </c>
      <c r="AF43" s="11" t="s">
        <v>5</v>
      </c>
      <c r="AG43" s="10" t="s">
        <v>16</v>
      </c>
      <c r="AP43" s="10">
        <v>6.7</v>
      </c>
      <c r="AQ43" s="10">
        <v>3.3</v>
      </c>
      <c r="AR43" s="10">
        <v>5.7</v>
      </c>
      <c r="AS43" s="10">
        <v>2.1</v>
      </c>
      <c r="AT43" s="11" t="s">
        <v>7</v>
      </c>
      <c r="AU43" s="10" t="s">
        <v>18</v>
      </c>
    </row>
    <row r="44" spans="1:47" x14ac:dyDescent="0.2">
      <c r="A44">
        <v>5</v>
      </c>
      <c r="B44">
        <v>3.3</v>
      </c>
      <c r="C44">
        <v>1.4</v>
      </c>
      <c r="D44">
        <v>0.2</v>
      </c>
      <c r="E44" s="3" t="s">
        <v>5</v>
      </c>
      <c r="J44" s="2">
        <f>POWER(J$4-A44,2)</f>
        <v>0.63999999999999968</v>
      </c>
      <c r="K44" s="2">
        <f>POWER(K$4-B44,2)</f>
        <v>0.49000000000000027</v>
      </c>
      <c r="L44" s="2">
        <f>POWER(L$4-C44,2)</f>
        <v>3.999999999999998E-2</v>
      </c>
      <c r="M44" s="2">
        <f>POWER(M$4-D44,2)</f>
        <v>0</v>
      </c>
      <c r="N44" s="7">
        <f t="shared" si="2"/>
        <v>1.0816653826391966</v>
      </c>
      <c r="O44" s="2">
        <f>POWER(O$4-A44,2)</f>
        <v>0.3599999999999996</v>
      </c>
      <c r="P44" s="2">
        <f>POWER(P$4-B44,2)</f>
        <v>8.99999999999999E-2</v>
      </c>
      <c r="Q44" s="2">
        <f>POWER(Q$4-C44,2)</f>
        <v>9.6100000000000012</v>
      </c>
      <c r="R44" s="2">
        <f>POWER(R$4-D44,2)</f>
        <v>1.6900000000000002</v>
      </c>
      <c r="S44" s="7">
        <f t="shared" si="3"/>
        <v>3.427827300200522</v>
      </c>
      <c r="T44" s="2">
        <f>POWER(T$4-A44,2)</f>
        <v>1.2099999999999993</v>
      </c>
      <c r="U44" s="2">
        <f>POWER(U$4-B44,2)</f>
        <v>8.99999999999999E-2</v>
      </c>
      <c r="V44" s="2">
        <f>POWER(V$4-C44,2)</f>
        <v>12.250000000000004</v>
      </c>
      <c r="W44" s="2">
        <f>POWER(W$4-D44,2)</f>
        <v>2.5600000000000005</v>
      </c>
      <c r="X44" s="7">
        <f t="shared" si="4"/>
        <v>4.0137264480778958</v>
      </c>
      <c r="Y44" s="9">
        <f t="shared" si="5"/>
        <v>1.0816653826391966</v>
      </c>
      <c r="Z44" t="str">
        <f>IF(Y44=N44,"C1",IF(Y44=S44,"C2",IF(Y44=X44,"C3")))</f>
        <v>C1</v>
      </c>
      <c r="AP44" s="10">
        <v>7.2</v>
      </c>
      <c r="AQ44" s="10">
        <v>3.2</v>
      </c>
      <c r="AR44" s="10">
        <v>6</v>
      </c>
      <c r="AS44" s="10">
        <v>1.8</v>
      </c>
      <c r="AT44" s="11" t="s">
        <v>7</v>
      </c>
      <c r="AU44" s="10" t="s">
        <v>18</v>
      </c>
    </row>
    <row r="45" spans="1:47" x14ac:dyDescent="0.2">
      <c r="A45">
        <v>7</v>
      </c>
      <c r="B45">
        <v>3.2</v>
      </c>
      <c r="C45">
        <v>4.7</v>
      </c>
      <c r="D45">
        <v>1.4</v>
      </c>
      <c r="E45" s="3" t="s">
        <v>6</v>
      </c>
      <c r="J45" s="2">
        <f>POWER(J$4-A45,2)</f>
        <v>1.4400000000000004</v>
      </c>
      <c r="K45" s="2">
        <f>POWER(K$4-B45,2)</f>
        <v>0.63999999999999968</v>
      </c>
      <c r="L45" s="2">
        <f>POWER(L$4-C45,2)</f>
        <v>12.25</v>
      </c>
      <c r="M45" s="2">
        <f>POWER(M$4-D45,2)</f>
        <v>1.44</v>
      </c>
      <c r="N45" s="7">
        <f t="shared" si="2"/>
        <v>3.9711459303329559</v>
      </c>
      <c r="O45" s="2">
        <f>POWER(O$4-A45,2)</f>
        <v>1.9600000000000011</v>
      </c>
      <c r="P45" s="2">
        <f>POWER(P$4-B45,2)</f>
        <v>4.000000000000007E-2</v>
      </c>
      <c r="Q45" s="2">
        <f>POWER(Q$4-C45,2)</f>
        <v>4.000000000000007E-2</v>
      </c>
      <c r="R45" s="2">
        <f>POWER(R$4-D45,2)</f>
        <v>1.0000000000000018E-2</v>
      </c>
      <c r="S45" s="7">
        <f t="shared" si="3"/>
        <v>1.4317821063276359</v>
      </c>
      <c r="T45" s="2">
        <f>POWER(T$4-A45,2)</f>
        <v>0.81000000000000061</v>
      </c>
      <c r="U45" s="2">
        <f>POWER(U$4-B45,2)</f>
        <v>4.000000000000007E-2</v>
      </c>
      <c r="V45" s="2">
        <f>POWER(V$4-C45,2)</f>
        <v>4.000000000000007E-2</v>
      </c>
      <c r="W45" s="2">
        <f>POWER(W$4-D45,2)</f>
        <v>0.16000000000000011</v>
      </c>
      <c r="X45" s="7">
        <f t="shared" si="4"/>
        <v>1.0246950765959602</v>
      </c>
      <c r="Y45" s="9">
        <f t="shared" si="5"/>
        <v>1.0246950765959602</v>
      </c>
      <c r="Z45" t="str">
        <f>IF(Y45=N45,"C1",IF(Y45=S45,"C2",IF(Y45=X45,"C3")))</f>
        <v>C3</v>
      </c>
      <c r="AP45" s="10">
        <v>6.2</v>
      </c>
      <c r="AQ45" s="10">
        <v>2.8</v>
      </c>
      <c r="AR45" s="10">
        <v>4.8</v>
      </c>
      <c r="AS45" s="10">
        <v>1.8</v>
      </c>
      <c r="AT45" s="11" t="s">
        <v>7</v>
      </c>
      <c r="AU45" s="10" t="s">
        <v>18</v>
      </c>
    </row>
    <row r="46" spans="1:47" x14ac:dyDescent="0.2">
      <c r="A46">
        <v>6.4</v>
      </c>
      <c r="B46">
        <v>3.2</v>
      </c>
      <c r="C46">
        <v>4.5</v>
      </c>
      <c r="D46">
        <v>1.5</v>
      </c>
      <c r="E46" s="3" t="s">
        <v>6</v>
      </c>
      <c r="J46" s="2">
        <f>POWER(J$4-A46,2)</f>
        <v>0.36000000000000065</v>
      </c>
      <c r="K46" s="2">
        <f>POWER(K$4-B46,2)</f>
        <v>0.63999999999999968</v>
      </c>
      <c r="L46" s="2">
        <f>POWER(L$4-C46,2)</f>
        <v>10.889999999999999</v>
      </c>
      <c r="M46" s="2">
        <f>POWER(M$4-D46,2)</f>
        <v>1.6900000000000002</v>
      </c>
      <c r="N46" s="7">
        <f t="shared" si="2"/>
        <v>3.6851051545376556</v>
      </c>
      <c r="O46" s="2">
        <f>POWER(O$4-A46,2)</f>
        <v>0.64000000000000112</v>
      </c>
      <c r="P46" s="2">
        <f>POWER(P$4-B46,2)</f>
        <v>4.000000000000007E-2</v>
      </c>
      <c r="Q46" s="2">
        <f>POWER(Q$4-C46,2)</f>
        <v>0</v>
      </c>
      <c r="R46" s="2">
        <f>POWER(R$4-D46,2)</f>
        <v>0</v>
      </c>
      <c r="S46" s="7">
        <f t="shared" si="3"/>
        <v>0.82462112512353281</v>
      </c>
      <c r="T46" s="2">
        <f>POWER(T$4-A46,2)</f>
        <v>9.0000000000000427E-2</v>
      </c>
      <c r="U46" s="2">
        <f>POWER(U$4-B46,2)</f>
        <v>4.000000000000007E-2</v>
      </c>
      <c r="V46" s="2">
        <f>POWER(V$4-C46,2)</f>
        <v>0.16000000000000028</v>
      </c>
      <c r="W46" s="2">
        <f>POWER(W$4-D46,2)</f>
        <v>9.0000000000000024E-2</v>
      </c>
      <c r="X46" s="7">
        <f t="shared" si="4"/>
        <v>0.61644140029689831</v>
      </c>
      <c r="Y46" s="9">
        <f t="shared" si="5"/>
        <v>0.61644140029689831</v>
      </c>
      <c r="Z46" t="str">
        <f>IF(Y46=N46,"C1",IF(Y46=S46,"C2",IF(Y46=X46,"C3")))</f>
        <v>C3</v>
      </c>
      <c r="AP46" s="10">
        <v>6.1</v>
      </c>
      <c r="AQ46" s="10">
        <v>3</v>
      </c>
      <c r="AR46" s="10">
        <v>4.9000000000000004</v>
      </c>
      <c r="AS46" s="10">
        <v>1.8</v>
      </c>
      <c r="AT46" s="11" t="s">
        <v>7</v>
      </c>
      <c r="AU46" s="10" t="s">
        <v>18</v>
      </c>
    </row>
    <row r="47" spans="1:47" x14ac:dyDescent="0.2">
      <c r="A47">
        <v>6.9</v>
      </c>
      <c r="B47">
        <v>3.1</v>
      </c>
      <c r="C47">
        <v>4.9000000000000004</v>
      </c>
      <c r="D47">
        <v>1.5</v>
      </c>
      <c r="E47" s="3" t="s">
        <v>6</v>
      </c>
      <c r="J47" s="2">
        <f>POWER(J$4-A47,2)</f>
        <v>1.2100000000000011</v>
      </c>
      <c r="K47" s="2">
        <f>POWER(K$4-B47,2)</f>
        <v>0.80999999999999983</v>
      </c>
      <c r="L47" s="2">
        <f>POWER(L$4-C47,2)</f>
        <v>13.690000000000001</v>
      </c>
      <c r="M47" s="2">
        <f>POWER(M$4-D47,2)</f>
        <v>1.6900000000000002</v>
      </c>
      <c r="N47" s="7">
        <f t="shared" si="2"/>
        <v>4.1713307229228427</v>
      </c>
      <c r="O47" s="2">
        <f>POWER(O$4-A47,2)</f>
        <v>1.6900000000000019</v>
      </c>
      <c r="P47" s="2">
        <f>POWER(P$4-B47,2)</f>
        <v>1.0000000000000018E-2</v>
      </c>
      <c r="Q47" s="2">
        <f>POWER(Q$4-C47,2)</f>
        <v>0.16000000000000028</v>
      </c>
      <c r="R47" s="2">
        <f>POWER(R$4-D47,2)</f>
        <v>0</v>
      </c>
      <c r="S47" s="7">
        <f t="shared" si="3"/>
        <v>1.3638181696985865</v>
      </c>
      <c r="T47" s="2">
        <f>POWER(T$4-A47,2)</f>
        <v>0.64000000000000112</v>
      </c>
      <c r="U47" s="2">
        <f>POWER(U$4-B47,2)</f>
        <v>1.0000000000000018E-2</v>
      </c>
      <c r="V47" s="2">
        <f>POWER(V$4-C47,2)</f>
        <v>0</v>
      </c>
      <c r="W47" s="2">
        <f>POWER(W$4-D47,2)</f>
        <v>9.0000000000000024E-2</v>
      </c>
      <c r="X47" s="7">
        <f t="shared" si="4"/>
        <v>0.86023252670426331</v>
      </c>
      <c r="Y47" s="9">
        <f t="shared" si="5"/>
        <v>0.86023252670426331</v>
      </c>
      <c r="Z47" t="str">
        <f>IF(Y47=N47,"C1",IF(Y47=S47,"C2",IF(Y47=X47,"C3")))</f>
        <v>C3</v>
      </c>
      <c r="AP47" s="10">
        <v>6.4</v>
      </c>
      <c r="AQ47" s="10">
        <v>2.8</v>
      </c>
      <c r="AR47" s="10">
        <v>5.6</v>
      </c>
      <c r="AS47" s="10">
        <v>2.1</v>
      </c>
      <c r="AT47" s="11" t="s">
        <v>7</v>
      </c>
      <c r="AU47" s="10" t="s">
        <v>18</v>
      </c>
    </row>
    <row r="48" spans="1:47" x14ac:dyDescent="0.2">
      <c r="A48">
        <v>5.5</v>
      </c>
      <c r="B48">
        <v>2.2999999999999998</v>
      </c>
      <c r="C48">
        <v>4</v>
      </c>
      <c r="D48">
        <v>1.3</v>
      </c>
      <c r="E48" s="3" t="s">
        <v>6</v>
      </c>
      <c r="J48" s="2">
        <f>POWER(J$4-A48,2)</f>
        <v>8.99999999999999E-2</v>
      </c>
      <c r="K48" s="2">
        <f>POWER(K$4-B48,2)</f>
        <v>2.8900000000000006</v>
      </c>
      <c r="L48" s="2">
        <f>POWER(L$4-C48,2)</f>
        <v>7.839999999999999</v>
      </c>
      <c r="M48" s="2">
        <f>POWER(M$4-D48,2)</f>
        <v>1.2100000000000002</v>
      </c>
      <c r="N48" s="7">
        <f t="shared" si="2"/>
        <v>3.4684290392049251</v>
      </c>
      <c r="O48" s="2">
        <f>POWER(O$4-A48,2)</f>
        <v>9.9999999999999291E-3</v>
      </c>
      <c r="P48" s="2">
        <f>POWER(P$4-B48,2)</f>
        <v>0.49000000000000027</v>
      </c>
      <c r="Q48" s="2">
        <f>POWER(Q$4-C48,2)</f>
        <v>0.25</v>
      </c>
      <c r="R48" s="2">
        <f>POWER(R$4-D48,2)</f>
        <v>3.999999999999998E-2</v>
      </c>
      <c r="S48" s="7">
        <f t="shared" si="3"/>
        <v>0.88881944173155902</v>
      </c>
      <c r="T48" s="2">
        <f>POWER(T$4-A48,2)</f>
        <v>0.3599999999999996</v>
      </c>
      <c r="U48" s="2">
        <f>POWER(U$4-B48,2)</f>
        <v>0.49000000000000027</v>
      </c>
      <c r="V48" s="2">
        <f>POWER(V$4-C48,2)</f>
        <v>0.81000000000000061</v>
      </c>
      <c r="W48" s="2">
        <f>POWER(W$4-D48,2)</f>
        <v>0.25</v>
      </c>
      <c r="X48" s="7">
        <f t="shared" si="4"/>
        <v>1.3820274961085255</v>
      </c>
      <c r="Y48" s="9">
        <f t="shared" si="5"/>
        <v>0.88881944173155902</v>
      </c>
      <c r="Z48" t="str">
        <f>IF(Y48=N48,"C1",IF(Y48=S48,"C2",IF(Y48=X48,"C3")))</f>
        <v>C2</v>
      </c>
      <c r="AP48" s="10">
        <v>7.2</v>
      </c>
      <c r="AQ48" s="10">
        <v>3</v>
      </c>
      <c r="AR48" s="10">
        <v>5.8</v>
      </c>
      <c r="AS48" s="10">
        <v>1.6</v>
      </c>
      <c r="AT48" s="11" t="s">
        <v>7</v>
      </c>
      <c r="AU48" s="10" t="s">
        <v>18</v>
      </c>
    </row>
    <row r="49" spans="1:47" x14ac:dyDescent="0.2">
      <c r="A49">
        <v>6.5</v>
      </c>
      <c r="B49">
        <v>2.8</v>
      </c>
      <c r="C49">
        <v>4.5999999999999996</v>
      </c>
      <c r="D49">
        <v>1.5</v>
      </c>
      <c r="E49" s="3" t="s">
        <v>6</v>
      </c>
      <c r="J49" s="2">
        <f>POWER(J$4-A49,2)</f>
        <v>0.49000000000000027</v>
      </c>
      <c r="K49" s="2">
        <f>POWER(K$4-B49,2)</f>
        <v>1.4400000000000004</v>
      </c>
      <c r="L49" s="2">
        <f>POWER(L$4-C49,2)</f>
        <v>11.559999999999997</v>
      </c>
      <c r="M49" s="2">
        <f>POWER(M$4-D49,2)</f>
        <v>1.6900000000000002</v>
      </c>
      <c r="N49" s="7">
        <f t="shared" si="2"/>
        <v>3.896151947755631</v>
      </c>
      <c r="O49" s="2">
        <f>POWER(O$4-A49,2)</f>
        <v>0.81000000000000061</v>
      </c>
      <c r="P49" s="2">
        <f>POWER(P$4-B49,2)</f>
        <v>4.000000000000007E-2</v>
      </c>
      <c r="Q49" s="2">
        <f>POWER(Q$4-C49,2)</f>
        <v>9.9999999999999291E-3</v>
      </c>
      <c r="R49" s="2">
        <f>POWER(R$4-D49,2)</f>
        <v>0</v>
      </c>
      <c r="S49" s="7">
        <f t="shared" si="3"/>
        <v>0.92736184954957068</v>
      </c>
      <c r="T49" s="2">
        <f>POWER(T$4-A49,2)</f>
        <v>0.16000000000000028</v>
      </c>
      <c r="U49" s="2">
        <f>POWER(U$4-B49,2)</f>
        <v>4.000000000000007E-2</v>
      </c>
      <c r="V49" s="2">
        <f>POWER(V$4-C49,2)</f>
        <v>9.0000000000000427E-2</v>
      </c>
      <c r="W49" s="2">
        <f>POWER(W$4-D49,2)</f>
        <v>9.0000000000000024E-2</v>
      </c>
      <c r="X49" s="7">
        <f t="shared" si="4"/>
        <v>0.61644140029689831</v>
      </c>
      <c r="Y49" s="9">
        <f t="shared" si="5"/>
        <v>0.61644140029689831</v>
      </c>
      <c r="Z49" t="str">
        <f>IF(Y49=N49,"C1",IF(Y49=S49,"C2",IF(Y49=X49,"C3")))</f>
        <v>C3</v>
      </c>
      <c r="AP49" s="10">
        <v>7.4</v>
      </c>
      <c r="AQ49" s="10">
        <v>2.8</v>
      </c>
      <c r="AR49" s="10">
        <v>6.1</v>
      </c>
      <c r="AS49" s="10">
        <v>1.9</v>
      </c>
      <c r="AT49" s="11" t="s">
        <v>7</v>
      </c>
      <c r="AU49" s="10" t="s">
        <v>18</v>
      </c>
    </row>
    <row r="50" spans="1:47" x14ac:dyDescent="0.2">
      <c r="A50">
        <v>5.7</v>
      </c>
      <c r="B50">
        <v>2.8</v>
      </c>
      <c r="C50">
        <v>4.5</v>
      </c>
      <c r="D50">
        <v>1.3</v>
      </c>
      <c r="E50" s="3" t="s">
        <v>6</v>
      </c>
      <c r="J50" s="2">
        <f>POWER(J$4-A50,2)</f>
        <v>9.9999999999999291E-3</v>
      </c>
      <c r="K50" s="2">
        <f>POWER(K$4-B50,2)</f>
        <v>1.4400000000000004</v>
      </c>
      <c r="L50" s="2">
        <f>POWER(L$4-C50,2)</f>
        <v>10.889999999999999</v>
      </c>
      <c r="M50" s="2">
        <f>POWER(M$4-D50,2)</f>
        <v>1.2100000000000002</v>
      </c>
      <c r="N50" s="7">
        <f t="shared" si="2"/>
        <v>3.6810324638611922</v>
      </c>
      <c r="O50" s="2">
        <f>POWER(O$4-A50,2)</f>
        <v>1.0000000000000106E-2</v>
      </c>
      <c r="P50" s="2">
        <f>POWER(P$4-B50,2)</f>
        <v>4.000000000000007E-2</v>
      </c>
      <c r="Q50" s="2">
        <f>POWER(Q$4-C50,2)</f>
        <v>0</v>
      </c>
      <c r="R50" s="2">
        <f>POWER(R$4-D50,2)</f>
        <v>3.999999999999998E-2</v>
      </c>
      <c r="S50" s="7">
        <f t="shared" si="3"/>
        <v>0.30000000000000027</v>
      </c>
      <c r="T50" s="2">
        <f>POWER(T$4-A50,2)</f>
        <v>0.15999999999999959</v>
      </c>
      <c r="U50" s="2">
        <f>POWER(U$4-B50,2)</f>
        <v>4.000000000000007E-2</v>
      </c>
      <c r="V50" s="2">
        <f>POWER(V$4-C50,2)</f>
        <v>0.16000000000000028</v>
      </c>
      <c r="W50" s="2">
        <f>POWER(W$4-D50,2)</f>
        <v>0.25</v>
      </c>
      <c r="X50" s="7">
        <f t="shared" si="4"/>
        <v>0.78102496759066531</v>
      </c>
      <c r="Y50" s="9">
        <f t="shared" si="5"/>
        <v>0.30000000000000027</v>
      </c>
      <c r="Z50" t="str">
        <f>IF(Y50=N50,"C1",IF(Y50=S50,"C2",IF(Y50=X50,"C3")))</f>
        <v>C2</v>
      </c>
      <c r="AP50" s="10">
        <v>7.9</v>
      </c>
      <c r="AQ50" s="10">
        <v>3.8</v>
      </c>
      <c r="AR50" s="10">
        <v>6.4</v>
      </c>
      <c r="AS50" s="10">
        <v>2</v>
      </c>
      <c r="AT50" s="11" t="s">
        <v>7</v>
      </c>
      <c r="AU50" s="10" t="s">
        <v>18</v>
      </c>
    </row>
    <row r="51" spans="1:47" x14ac:dyDescent="0.2">
      <c r="A51">
        <v>6.3</v>
      </c>
      <c r="B51">
        <v>3.3</v>
      </c>
      <c r="C51">
        <v>4.7</v>
      </c>
      <c r="D51">
        <v>1.6</v>
      </c>
      <c r="E51" s="3" t="s">
        <v>6</v>
      </c>
      <c r="J51" s="2">
        <f>POWER(J$4-A51,2)</f>
        <v>0.25</v>
      </c>
      <c r="K51" s="2">
        <f>POWER(K$4-B51,2)</f>
        <v>0.49000000000000027</v>
      </c>
      <c r="L51" s="2">
        <f>POWER(L$4-C51,2)</f>
        <v>12.25</v>
      </c>
      <c r="M51" s="2">
        <f>POWER(M$4-D51,2)</f>
        <v>1.9600000000000004</v>
      </c>
      <c r="N51" s="7">
        <f t="shared" si="2"/>
        <v>3.8665229858362409</v>
      </c>
      <c r="O51" s="2">
        <f>POWER(O$4-A51,2)</f>
        <v>0.49000000000000027</v>
      </c>
      <c r="P51" s="2">
        <f>POWER(P$4-B51,2)</f>
        <v>8.99999999999999E-2</v>
      </c>
      <c r="Q51" s="2">
        <f>POWER(Q$4-C51,2)</f>
        <v>4.000000000000007E-2</v>
      </c>
      <c r="R51" s="2">
        <f>POWER(R$4-D51,2)</f>
        <v>1.0000000000000018E-2</v>
      </c>
      <c r="S51" s="7">
        <f t="shared" si="3"/>
        <v>0.7937253933193773</v>
      </c>
      <c r="T51" s="2">
        <f>POWER(T$4-A51,2)</f>
        <v>4.000000000000007E-2</v>
      </c>
      <c r="U51" s="2">
        <f>POWER(U$4-B51,2)</f>
        <v>8.99999999999999E-2</v>
      </c>
      <c r="V51" s="2">
        <f>POWER(V$4-C51,2)</f>
        <v>4.000000000000007E-2</v>
      </c>
      <c r="W51" s="2">
        <f>POWER(W$4-D51,2)</f>
        <v>3.999999999999998E-2</v>
      </c>
      <c r="X51" s="7">
        <f t="shared" si="4"/>
        <v>0.45825756949558405</v>
      </c>
      <c r="Y51" s="9">
        <f t="shared" si="5"/>
        <v>0.45825756949558405</v>
      </c>
      <c r="Z51" t="str">
        <f>IF(Y51=N51,"C1",IF(Y51=S51,"C2",IF(Y51=X51,"C3")))</f>
        <v>C3</v>
      </c>
      <c r="AP51" s="10">
        <v>6.4</v>
      </c>
      <c r="AQ51" s="10">
        <v>2.8</v>
      </c>
      <c r="AR51" s="10">
        <v>5.6</v>
      </c>
      <c r="AS51" s="10">
        <v>2.2000000000000002</v>
      </c>
      <c r="AT51" s="11" t="s">
        <v>7</v>
      </c>
      <c r="AU51" s="10" t="s">
        <v>18</v>
      </c>
    </row>
    <row r="52" spans="1:47" x14ac:dyDescent="0.2">
      <c r="A52">
        <v>4.9000000000000004</v>
      </c>
      <c r="B52">
        <v>2.4</v>
      </c>
      <c r="C52">
        <v>3.3</v>
      </c>
      <c r="D52">
        <v>1</v>
      </c>
      <c r="E52" s="3" t="s">
        <v>6</v>
      </c>
      <c r="J52" s="2">
        <f>POWER(J$4-A52,2)</f>
        <v>0.80999999999999905</v>
      </c>
      <c r="K52" s="2">
        <f>POWER(K$4-B52,2)</f>
        <v>2.5600000000000005</v>
      </c>
      <c r="L52" s="2">
        <f>POWER(L$4-C52,2)</f>
        <v>4.4099999999999984</v>
      </c>
      <c r="M52" s="2">
        <f>POWER(M$4-D52,2)</f>
        <v>0.64000000000000012</v>
      </c>
      <c r="N52" s="7">
        <f t="shared" si="2"/>
        <v>2.9017236257093812</v>
      </c>
      <c r="O52" s="2">
        <f>POWER(O$4-A52,2)</f>
        <v>0.48999999999999899</v>
      </c>
      <c r="P52" s="2">
        <f>POWER(P$4-B52,2)</f>
        <v>0.3600000000000001</v>
      </c>
      <c r="Q52" s="2">
        <f>POWER(Q$4-C52,2)</f>
        <v>1.4400000000000004</v>
      </c>
      <c r="R52" s="2">
        <f>POWER(R$4-D52,2)</f>
        <v>0.25</v>
      </c>
      <c r="S52" s="7">
        <f t="shared" si="3"/>
        <v>1.5937377450509227</v>
      </c>
      <c r="T52" s="2">
        <f>POWER(T$4-A52,2)</f>
        <v>1.4399999999999984</v>
      </c>
      <c r="U52" s="2">
        <f>POWER(U$4-B52,2)</f>
        <v>0.3600000000000001</v>
      </c>
      <c r="V52" s="2">
        <f>POWER(V$4-C52,2)</f>
        <v>2.5600000000000018</v>
      </c>
      <c r="W52" s="2">
        <f>POWER(W$4-D52,2)</f>
        <v>0.64000000000000012</v>
      </c>
      <c r="X52" s="7">
        <f t="shared" si="4"/>
        <v>2.2360679774997898</v>
      </c>
      <c r="Y52" s="9">
        <f t="shared" si="5"/>
        <v>1.5937377450509227</v>
      </c>
      <c r="Z52" t="str">
        <f>IF(Y52=N52,"C1",IF(Y52=S52,"C2",IF(Y52=X52,"C3")))</f>
        <v>C2</v>
      </c>
      <c r="AP52" s="10">
        <v>6.3</v>
      </c>
      <c r="AQ52" s="10">
        <v>2.8</v>
      </c>
      <c r="AR52" s="10">
        <v>5.0999999999999996</v>
      </c>
      <c r="AS52" s="10">
        <v>1.5</v>
      </c>
      <c r="AT52" s="11" t="s">
        <v>7</v>
      </c>
      <c r="AU52" s="10" t="s">
        <v>18</v>
      </c>
    </row>
    <row r="53" spans="1:47" x14ac:dyDescent="0.2">
      <c r="A53">
        <v>6.6</v>
      </c>
      <c r="B53">
        <v>2.9</v>
      </c>
      <c r="C53">
        <v>4.5999999999999996</v>
      </c>
      <c r="D53">
        <v>1.3</v>
      </c>
      <c r="E53" s="3" t="s">
        <v>6</v>
      </c>
      <c r="J53" s="2">
        <f>POWER(J$4-A53,2)</f>
        <v>0.63999999999999968</v>
      </c>
      <c r="K53" s="2">
        <f>POWER(K$4-B53,2)</f>
        <v>1.2100000000000002</v>
      </c>
      <c r="L53" s="2">
        <f>POWER(L$4-C53,2)</f>
        <v>11.559999999999997</v>
      </c>
      <c r="M53" s="2">
        <f>POWER(M$4-D53,2)</f>
        <v>1.2100000000000002</v>
      </c>
      <c r="N53" s="7">
        <f t="shared" si="2"/>
        <v>3.823610858861032</v>
      </c>
      <c r="O53" s="2">
        <f>POWER(O$4-A53,2)</f>
        <v>1</v>
      </c>
      <c r="P53" s="2">
        <f>POWER(P$4-B53,2)</f>
        <v>1.0000000000000018E-2</v>
      </c>
      <c r="Q53" s="2">
        <f>POWER(Q$4-C53,2)</f>
        <v>9.9999999999999291E-3</v>
      </c>
      <c r="R53" s="2">
        <f>POWER(R$4-D53,2)</f>
        <v>3.999999999999998E-2</v>
      </c>
      <c r="S53" s="7">
        <f t="shared" si="3"/>
        <v>1.0295630140987</v>
      </c>
      <c r="T53" s="2">
        <f>POWER(T$4-A53,2)</f>
        <v>0.25</v>
      </c>
      <c r="U53" s="2">
        <f>POWER(U$4-B53,2)</f>
        <v>1.0000000000000018E-2</v>
      </c>
      <c r="V53" s="2">
        <f>POWER(V$4-C53,2)</f>
        <v>9.0000000000000427E-2</v>
      </c>
      <c r="W53" s="2">
        <f>POWER(W$4-D53,2)</f>
        <v>0.25</v>
      </c>
      <c r="X53" s="7">
        <f t="shared" si="4"/>
        <v>0.77459666924148363</v>
      </c>
      <c r="Y53" s="9">
        <f t="shared" si="5"/>
        <v>0.77459666924148363</v>
      </c>
      <c r="Z53" t="str">
        <f>IF(Y53=N53,"C1",IF(Y53=S53,"C2",IF(Y53=X53,"C3")))</f>
        <v>C3</v>
      </c>
      <c r="AP53" s="10">
        <v>6.7</v>
      </c>
      <c r="AQ53" s="10">
        <v>3.3</v>
      </c>
      <c r="AR53" s="10">
        <v>5.7</v>
      </c>
      <c r="AS53" s="10">
        <v>2.5</v>
      </c>
      <c r="AT53" s="11" t="s">
        <v>7</v>
      </c>
      <c r="AU53" s="10" t="s">
        <v>18</v>
      </c>
    </row>
    <row r="54" spans="1:47" x14ac:dyDescent="0.2">
      <c r="A54">
        <v>4.9000000000000004</v>
      </c>
      <c r="B54">
        <v>2.5</v>
      </c>
      <c r="C54">
        <v>4.5</v>
      </c>
      <c r="D54">
        <v>1.7</v>
      </c>
      <c r="E54" s="3" t="s">
        <v>7</v>
      </c>
      <c r="J54" s="2">
        <f>POWER(J$4-A54,2)</f>
        <v>0.80999999999999905</v>
      </c>
      <c r="K54" s="2">
        <f>POWER(K$4-B54,2)</f>
        <v>2.25</v>
      </c>
      <c r="L54" s="2">
        <f>POWER(L$4-C54,2)</f>
        <v>10.889999999999999</v>
      </c>
      <c r="M54" s="2">
        <f>POWER(M$4-D54,2)</f>
        <v>2.25</v>
      </c>
      <c r="N54" s="7">
        <f t="shared" si="2"/>
        <v>4.0249223594996213</v>
      </c>
      <c r="O54" s="2">
        <f>POWER(O$4-A54,2)</f>
        <v>0.48999999999999899</v>
      </c>
      <c r="P54" s="2">
        <f>POWER(P$4-B54,2)</f>
        <v>0.25</v>
      </c>
      <c r="Q54" s="2">
        <f>POWER(Q$4-C54,2)</f>
        <v>0</v>
      </c>
      <c r="R54" s="2">
        <f>POWER(R$4-D54,2)</f>
        <v>3.999999999999998E-2</v>
      </c>
      <c r="S54" s="7">
        <f t="shared" si="3"/>
        <v>0.88317608663278402</v>
      </c>
      <c r="T54" s="2">
        <f>POWER(T$4-A54,2)</f>
        <v>1.4399999999999984</v>
      </c>
      <c r="U54" s="2">
        <f>POWER(U$4-B54,2)</f>
        <v>0.25</v>
      </c>
      <c r="V54" s="2">
        <f>POWER(V$4-C54,2)</f>
        <v>0.16000000000000028</v>
      </c>
      <c r="W54" s="2">
        <f>POWER(W$4-D54,2)</f>
        <v>1.0000000000000018E-2</v>
      </c>
      <c r="X54" s="7">
        <f t="shared" si="4"/>
        <v>1.3638181696985852</v>
      </c>
      <c r="Y54" s="9">
        <f t="shared" si="5"/>
        <v>0.88317608663278402</v>
      </c>
      <c r="Z54" t="str">
        <f>IF(Y54=N54,"C1",IF(Y54=S54,"C2",IF(Y54=X54,"C3")))</f>
        <v>C2</v>
      </c>
      <c r="AP54" s="10">
        <v>6.7</v>
      </c>
      <c r="AQ54" s="10">
        <v>3</v>
      </c>
      <c r="AR54" s="10">
        <v>5.2</v>
      </c>
      <c r="AS54" s="10">
        <v>2.2999999999999998</v>
      </c>
      <c r="AT54" s="11" t="s">
        <v>7</v>
      </c>
      <c r="AU54" s="10" t="s">
        <v>18</v>
      </c>
    </row>
    <row r="55" spans="1:47" x14ac:dyDescent="0.2">
      <c r="A55">
        <v>7.3</v>
      </c>
      <c r="B55">
        <v>2.9</v>
      </c>
      <c r="C55">
        <v>6.3</v>
      </c>
      <c r="D55">
        <v>1.8</v>
      </c>
      <c r="E55" s="3" t="s">
        <v>7</v>
      </c>
      <c r="J55" s="2">
        <f>POWER(J$4-A55,2)</f>
        <v>2.25</v>
      </c>
      <c r="K55" s="2">
        <f>POWER(K$4-B55,2)</f>
        <v>1.2100000000000002</v>
      </c>
      <c r="L55" s="2">
        <f>POWER(L$4-C55,2)</f>
        <v>26.009999999999998</v>
      </c>
      <c r="M55" s="2">
        <f>POWER(M$4-D55,2)</f>
        <v>2.5600000000000005</v>
      </c>
      <c r="N55" s="7">
        <f t="shared" si="2"/>
        <v>5.6595052787324089</v>
      </c>
      <c r="O55" s="2">
        <f>POWER(O$4-A55,2)</f>
        <v>2.8900000000000006</v>
      </c>
      <c r="P55" s="2">
        <f>POWER(P$4-B55,2)</f>
        <v>1.0000000000000018E-2</v>
      </c>
      <c r="Q55" s="2">
        <f>POWER(Q$4-C55,2)</f>
        <v>3.2399999999999993</v>
      </c>
      <c r="R55" s="2">
        <f>POWER(R$4-D55,2)</f>
        <v>9.0000000000000024E-2</v>
      </c>
      <c r="S55" s="7">
        <f t="shared" si="3"/>
        <v>2.495996794869737</v>
      </c>
      <c r="T55" s="2">
        <f>POWER(T$4-A55,2)</f>
        <v>1.4400000000000004</v>
      </c>
      <c r="U55" s="2">
        <f>POWER(U$4-B55,2)</f>
        <v>1.0000000000000018E-2</v>
      </c>
      <c r="V55" s="2">
        <f>POWER(V$4-C55,2)</f>
        <v>1.9599999999999984</v>
      </c>
      <c r="W55" s="2">
        <f>POWER(W$4-D55,2)</f>
        <v>0</v>
      </c>
      <c r="X55" s="7">
        <f t="shared" si="4"/>
        <v>1.8466185312619385</v>
      </c>
      <c r="Y55" s="9">
        <f t="shared" si="5"/>
        <v>1.8466185312619385</v>
      </c>
      <c r="Z55" t="str">
        <f>IF(Y55=N55,"C1",IF(Y55=S55,"C2",IF(Y55=X55,"C3")))</f>
        <v>C3</v>
      </c>
      <c r="AP55" s="10">
        <v>6.3</v>
      </c>
      <c r="AQ55" s="10">
        <v>2.5</v>
      </c>
      <c r="AR55" s="10">
        <v>5</v>
      </c>
      <c r="AS55" s="10">
        <v>1.9</v>
      </c>
      <c r="AT55" s="11" t="s">
        <v>7</v>
      </c>
      <c r="AU55" s="10" t="s">
        <v>18</v>
      </c>
    </row>
    <row r="56" spans="1:47" x14ac:dyDescent="0.2">
      <c r="A56">
        <v>6.7</v>
      </c>
      <c r="B56">
        <v>2.5</v>
      </c>
      <c r="C56">
        <v>5.8</v>
      </c>
      <c r="D56">
        <v>1.8</v>
      </c>
      <c r="E56" s="3" t="s">
        <v>7</v>
      </c>
      <c r="J56" s="2">
        <f>POWER(J$4-A56,2)</f>
        <v>0.81000000000000061</v>
      </c>
      <c r="K56" s="2">
        <f>POWER(K$4-B56,2)</f>
        <v>2.25</v>
      </c>
      <c r="L56" s="2">
        <f>POWER(L$4-C56,2)</f>
        <v>21.159999999999997</v>
      </c>
      <c r="M56" s="2">
        <f>POWER(M$4-D56,2)</f>
        <v>2.5600000000000005</v>
      </c>
      <c r="N56" s="7">
        <f t="shared" si="2"/>
        <v>5.1749396131742449</v>
      </c>
      <c r="O56" s="2">
        <f>POWER(O$4-A56,2)</f>
        <v>1.2100000000000011</v>
      </c>
      <c r="P56" s="2">
        <f>POWER(P$4-B56,2)</f>
        <v>0.25</v>
      </c>
      <c r="Q56" s="2">
        <f>POWER(Q$4-C56,2)</f>
        <v>1.6899999999999995</v>
      </c>
      <c r="R56" s="2">
        <f>POWER(R$4-D56,2)</f>
        <v>9.0000000000000024E-2</v>
      </c>
      <c r="S56" s="7">
        <f t="shared" si="3"/>
        <v>1.8</v>
      </c>
      <c r="T56" s="2">
        <f>POWER(T$4-A56,2)</f>
        <v>0.36000000000000065</v>
      </c>
      <c r="U56" s="2">
        <f>POWER(U$4-B56,2)</f>
        <v>0.25</v>
      </c>
      <c r="V56" s="2">
        <f>POWER(V$4-C56,2)</f>
        <v>0.80999999999999905</v>
      </c>
      <c r="W56" s="2">
        <f>POWER(W$4-D56,2)</f>
        <v>0</v>
      </c>
      <c r="X56" s="7">
        <f t="shared" si="4"/>
        <v>1.1916375287812984</v>
      </c>
      <c r="Y56" s="9">
        <f t="shared" si="5"/>
        <v>1.1916375287812984</v>
      </c>
      <c r="Z56" t="str">
        <f>IF(Y56=N56,"C1",IF(Y56=S56,"C2",IF(Y56=X56,"C3")))</f>
        <v>C3</v>
      </c>
      <c r="AP56" s="10">
        <v>6.5</v>
      </c>
      <c r="AQ56" s="10">
        <v>3</v>
      </c>
      <c r="AR56" s="10">
        <v>5.2</v>
      </c>
      <c r="AS56" s="10">
        <v>2</v>
      </c>
      <c r="AT56" s="11" t="s">
        <v>7</v>
      </c>
      <c r="AU56" s="10" t="s">
        <v>18</v>
      </c>
    </row>
    <row r="57" spans="1:47" x14ac:dyDescent="0.2">
      <c r="A57">
        <v>7.2</v>
      </c>
      <c r="B57">
        <v>3.6</v>
      </c>
      <c r="C57">
        <v>6.1</v>
      </c>
      <c r="D57">
        <v>2.5</v>
      </c>
      <c r="E57" s="3" t="s">
        <v>7</v>
      </c>
      <c r="J57" s="2">
        <f>POWER(J$4-A57,2)</f>
        <v>1.9600000000000011</v>
      </c>
      <c r="K57" s="2">
        <f>POWER(K$4-B57,2)</f>
        <v>0.15999999999999992</v>
      </c>
      <c r="L57" s="2">
        <f>POWER(L$4-C57,2)</f>
        <v>24.009999999999994</v>
      </c>
      <c r="M57" s="2">
        <f>POWER(M$4-D57,2)</f>
        <v>5.2899999999999991</v>
      </c>
      <c r="N57" s="7">
        <f t="shared" si="2"/>
        <v>5.6053545828966067</v>
      </c>
      <c r="O57" s="2">
        <f>POWER(O$4-A57,2)</f>
        <v>2.5600000000000018</v>
      </c>
      <c r="P57" s="2">
        <f>POWER(P$4-B57,2)</f>
        <v>0.3600000000000001</v>
      </c>
      <c r="Q57" s="2">
        <f>POWER(Q$4-C57,2)</f>
        <v>2.5599999999999987</v>
      </c>
      <c r="R57" s="2">
        <f>POWER(R$4-D57,2)</f>
        <v>1</v>
      </c>
      <c r="S57" s="7">
        <f t="shared" si="3"/>
        <v>2.545584412271571</v>
      </c>
      <c r="T57" s="2">
        <f>POWER(T$4-A57,2)</f>
        <v>1.2100000000000011</v>
      </c>
      <c r="U57" s="2">
        <f>POWER(U$4-B57,2)</f>
        <v>0.3600000000000001</v>
      </c>
      <c r="V57" s="2">
        <f>POWER(V$4-C57,2)</f>
        <v>1.4399999999999984</v>
      </c>
      <c r="W57" s="2">
        <f>POWER(W$4-D57,2)</f>
        <v>0.48999999999999994</v>
      </c>
      <c r="X57" s="7">
        <f t="shared" si="4"/>
        <v>1.8708286933869707</v>
      </c>
      <c r="Y57" s="9">
        <f t="shared" si="5"/>
        <v>1.8708286933869707</v>
      </c>
      <c r="Z57" t="str">
        <f>IF(Y57=N57,"C1",IF(Y57=S57,"C2",IF(Y57=X57,"C3")))</f>
        <v>C3</v>
      </c>
      <c r="AP57" s="10">
        <v>6.2</v>
      </c>
      <c r="AQ57" s="10">
        <v>3.4</v>
      </c>
      <c r="AR57" s="10">
        <v>5.4</v>
      </c>
      <c r="AS57" s="10">
        <v>2.2999999999999998</v>
      </c>
      <c r="AT57" s="11" t="s">
        <v>7</v>
      </c>
      <c r="AU57" s="10" t="s">
        <v>18</v>
      </c>
    </row>
    <row r="58" spans="1:47" x14ac:dyDescent="0.2">
      <c r="A58">
        <v>6.5</v>
      </c>
      <c r="B58">
        <v>3.2</v>
      </c>
      <c r="C58">
        <v>5.0999999999999996</v>
      </c>
      <c r="D58">
        <v>2</v>
      </c>
      <c r="E58" s="3" t="s">
        <v>7</v>
      </c>
      <c r="J58" s="2">
        <f>POWER(J$4-A58,2)</f>
        <v>0.49000000000000027</v>
      </c>
      <c r="K58" s="2">
        <f>POWER(K$4-B58,2)</f>
        <v>0.63999999999999968</v>
      </c>
      <c r="L58" s="2">
        <f>POWER(L$4-C58,2)</f>
        <v>15.209999999999996</v>
      </c>
      <c r="M58" s="2">
        <f>POWER(M$4-D58,2)</f>
        <v>3.24</v>
      </c>
      <c r="N58" s="7">
        <f t="shared" si="2"/>
        <v>4.4249293779675174</v>
      </c>
      <c r="O58" s="2">
        <f>POWER(O$4-A58,2)</f>
        <v>0.81000000000000061</v>
      </c>
      <c r="P58" s="2">
        <f>POWER(P$4-B58,2)</f>
        <v>4.000000000000007E-2</v>
      </c>
      <c r="Q58" s="2">
        <f>POWER(Q$4-C58,2)</f>
        <v>0.3599999999999996</v>
      </c>
      <c r="R58" s="2">
        <f>POWER(R$4-D58,2)</f>
        <v>0.25</v>
      </c>
      <c r="S58" s="7">
        <f t="shared" si="3"/>
        <v>1.2083045973594573</v>
      </c>
      <c r="T58" s="2">
        <f>POWER(T$4-A58,2)</f>
        <v>0.16000000000000028</v>
      </c>
      <c r="U58" s="2">
        <f>POWER(U$4-B58,2)</f>
        <v>4.000000000000007E-2</v>
      </c>
      <c r="V58" s="2">
        <f>POWER(V$4-C58,2)</f>
        <v>3.9999999999999716E-2</v>
      </c>
      <c r="W58" s="2">
        <f>POWER(W$4-D58,2)</f>
        <v>3.999999999999998E-2</v>
      </c>
      <c r="X58" s="7">
        <f t="shared" si="4"/>
        <v>0.52915026221291817</v>
      </c>
      <c r="Y58" s="9">
        <f t="shared" si="5"/>
        <v>0.52915026221291817</v>
      </c>
      <c r="Z58" t="str">
        <f>IF(Y58=N58,"C1",IF(Y58=S58,"C2",IF(Y58=X58,"C3")))</f>
        <v>C3</v>
      </c>
      <c r="AP58" s="10">
        <v>5.9</v>
      </c>
      <c r="AQ58" s="10">
        <v>3</v>
      </c>
      <c r="AR58" s="10">
        <v>5.0999999999999996</v>
      </c>
      <c r="AS58" s="10">
        <v>1.8</v>
      </c>
      <c r="AT58" s="11" t="s">
        <v>7</v>
      </c>
      <c r="AU58" s="10" t="s">
        <v>18</v>
      </c>
    </row>
    <row r="59" spans="1:47" x14ac:dyDescent="0.2">
      <c r="A59">
        <v>6.4</v>
      </c>
      <c r="B59">
        <v>2.7</v>
      </c>
      <c r="C59">
        <v>5.3</v>
      </c>
      <c r="D59">
        <v>1.9</v>
      </c>
      <c r="E59" s="3" t="s">
        <v>7</v>
      </c>
      <c r="J59" s="2">
        <f>POWER(J$4-A59,2)</f>
        <v>0.36000000000000065</v>
      </c>
      <c r="K59" s="2">
        <f>POWER(K$4-B59,2)</f>
        <v>1.6899999999999995</v>
      </c>
      <c r="L59" s="2">
        <f>POWER(L$4-C59,2)</f>
        <v>16.809999999999999</v>
      </c>
      <c r="M59" s="2">
        <f>POWER(M$4-D59,2)</f>
        <v>2.8899999999999997</v>
      </c>
      <c r="N59" s="7">
        <f t="shared" si="2"/>
        <v>4.6636895265444078</v>
      </c>
      <c r="O59" s="2">
        <f>POWER(O$4-A59,2)</f>
        <v>0.64000000000000112</v>
      </c>
      <c r="P59" s="2">
        <f>POWER(P$4-B59,2)</f>
        <v>8.99999999999999E-2</v>
      </c>
      <c r="Q59" s="2">
        <f>POWER(Q$4-C59,2)</f>
        <v>0.63999999999999968</v>
      </c>
      <c r="R59" s="2">
        <f>POWER(R$4-D59,2)</f>
        <v>0.15999999999999992</v>
      </c>
      <c r="S59" s="7">
        <f t="shared" si="3"/>
        <v>1.2369316876852983</v>
      </c>
      <c r="T59" s="2">
        <f>POWER(T$4-A59,2)</f>
        <v>9.0000000000000427E-2</v>
      </c>
      <c r="U59" s="2">
        <f>POWER(U$4-B59,2)</f>
        <v>8.99999999999999E-2</v>
      </c>
      <c r="V59" s="2">
        <f>POWER(V$4-C59,2)</f>
        <v>0.15999999999999959</v>
      </c>
      <c r="W59" s="2">
        <f>POWER(W$4-D59,2)</f>
        <v>9.9999999999999742E-3</v>
      </c>
      <c r="X59" s="7">
        <f t="shared" si="4"/>
        <v>0.59160797830996148</v>
      </c>
      <c r="Y59" s="9">
        <f t="shared" si="5"/>
        <v>0.59160797830996148</v>
      </c>
      <c r="Z59" t="str">
        <f>IF(Y59=N59,"C1",IF(Y59=S59,"C2",IF(Y59=X59,"C3")))</f>
        <v>C3</v>
      </c>
    </row>
    <row r="60" spans="1:47" x14ac:dyDescent="0.2">
      <c r="A60">
        <v>6.8</v>
      </c>
      <c r="B60">
        <v>3</v>
      </c>
      <c r="C60">
        <v>5.5</v>
      </c>
      <c r="D60">
        <v>2.1</v>
      </c>
      <c r="E60" s="3" t="s">
        <v>7</v>
      </c>
      <c r="J60" s="2">
        <f>POWER(J$4-A60,2)</f>
        <v>1</v>
      </c>
      <c r="K60" s="2">
        <f>POWER(K$4-B60,2)</f>
        <v>1</v>
      </c>
      <c r="L60" s="2">
        <f>POWER(L$4-C60,2)</f>
        <v>18.489999999999998</v>
      </c>
      <c r="M60" s="2">
        <f>POWER(M$4-D60,2)</f>
        <v>3.6100000000000003</v>
      </c>
      <c r="N60" s="7">
        <f t="shared" si="2"/>
        <v>4.9091750834534302</v>
      </c>
      <c r="O60" s="2">
        <f>POWER(O$4-A60,2)</f>
        <v>1.4400000000000004</v>
      </c>
      <c r="P60" s="2">
        <f>POWER(P$4-B60,2)</f>
        <v>0</v>
      </c>
      <c r="Q60" s="2">
        <f>POWER(Q$4-C60,2)</f>
        <v>1</v>
      </c>
      <c r="R60" s="2">
        <f>POWER(R$4-D60,2)</f>
        <v>0.3600000000000001</v>
      </c>
      <c r="S60" s="7">
        <f t="shared" si="3"/>
        <v>1.6733200530681513</v>
      </c>
      <c r="T60" s="2">
        <f>POWER(T$4-A60,2)</f>
        <v>0.49000000000000027</v>
      </c>
      <c r="U60" s="2">
        <f>POWER(U$4-B60,2)</f>
        <v>0</v>
      </c>
      <c r="V60" s="2">
        <f>POWER(V$4-C60,2)</f>
        <v>0.3599999999999996</v>
      </c>
      <c r="W60" s="2">
        <f>POWER(W$4-D60,2)</f>
        <v>9.0000000000000024E-2</v>
      </c>
      <c r="X60" s="7">
        <f t="shared" si="4"/>
        <v>0.96953597148326576</v>
      </c>
      <c r="Y60" s="9">
        <f t="shared" si="5"/>
        <v>0.96953597148326576</v>
      </c>
      <c r="Z60" t="str">
        <f>IF(Y60=N60,"C1",IF(Y60=S60,"C2",IF(Y60=X60,"C3")))</f>
        <v>C3</v>
      </c>
    </row>
    <row r="61" spans="1:47" x14ac:dyDescent="0.2">
      <c r="A61">
        <v>5.6</v>
      </c>
      <c r="B61">
        <v>3</v>
      </c>
      <c r="C61">
        <v>4.5</v>
      </c>
      <c r="D61">
        <v>1.5</v>
      </c>
      <c r="E61" s="3" t="s">
        <v>6</v>
      </c>
      <c r="J61" s="2">
        <f>POWER(J$4-A61,2)</f>
        <v>4.000000000000007E-2</v>
      </c>
      <c r="K61" s="2">
        <f>POWER(K$4-B61,2)</f>
        <v>1</v>
      </c>
      <c r="L61" s="2">
        <f>POWER(L$4-C61,2)</f>
        <v>10.889999999999999</v>
      </c>
      <c r="M61" s="2">
        <f>POWER(M$4-D61,2)</f>
        <v>1.6900000000000002</v>
      </c>
      <c r="N61" s="7">
        <f t="shared" si="2"/>
        <v>3.6905284174491868</v>
      </c>
      <c r="O61" s="2">
        <f>POWER(O$4-A61,2)</f>
        <v>0</v>
      </c>
      <c r="P61" s="2">
        <f>POWER(P$4-B61,2)</f>
        <v>0</v>
      </c>
      <c r="Q61" s="2">
        <f>POWER(Q$4-C61,2)</f>
        <v>0</v>
      </c>
      <c r="R61" s="2">
        <f>POWER(R$4-D61,2)</f>
        <v>0</v>
      </c>
      <c r="S61" s="7">
        <f t="shared" si="3"/>
        <v>0</v>
      </c>
      <c r="T61" s="2">
        <f>POWER(T$4-A61,2)</f>
        <v>0.25</v>
      </c>
      <c r="U61" s="2">
        <f>POWER(U$4-B61,2)</f>
        <v>0</v>
      </c>
      <c r="V61" s="2">
        <f>POWER(V$4-C61,2)</f>
        <v>0.16000000000000028</v>
      </c>
      <c r="W61" s="2">
        <f>POWER(W$4-D61,2)</f>
        <v>9.0000000000000024E-2</v>
      </c>
      <c r="X61" s="7">
        <f t="shared" si="4"/>
        <v>0.70710678118654768</v>
      </c>
      <c r="Y61" s="9">
        <f t="shared" si="5"/>
        <v>0</v>
      </c>
      <c r="Z61" t="str">
        <f>IF(Y61=N61,"C1",IF(Y61=S61,"C2",IF(Y61=X61,"C3")))</f>
        <v>C2</v>
      </c>
    </row>
    <row r="62" spans="1:47" x14ac:dyDescent="0.2">
      <c r="A62">
        <v>5.8</v>
      </c>
      <c r="B62">
        <v>2.7</v>
      </c>
      <c r="C62">
        <v>4.0999999999999996</v>
      </c>
      <c r="D62">
        <v>1</v>
      </c>
      <c r="E62" s="3" t="s">
        <v>6</v>
      </c>
      <c r="J62" s="2">
        <f>POWER(J$4-A62,2)</f>
        <v>0</v>
      </c>
      <c r="K62" s="2">
        <f>POWER(K$4-B62,2)</f>
        <v>1.6899999999999995</v>
      </c>
      <c r="L62" s="2">
        <f>POWER(L$4-C62,2)</f>
        <v>8.4099999999999966</v>
      </c>
      <c r="M62" s="2">
        <f>POWER(M$4-D62,2)</f>
        <v>0.64000000000000012</v>
      </c>
      <c r="N62" s="7">
        <f t="shared" si="2"/>
        <v>3.2771939216347872</v>
      </c>
      <c r="O62" s="2">
        <f>POWER(O$4-A62,2)</f>
        <v>4.000000000000007E-2</v>
      </c>
      <c r="P62" s="2">
        <f>POWER(P$4-B62,2)</f>
        <v>8.99999999999999E-2</v>
      </c>
      <c r="Q62" s="2">
        <f>POWER(Q$4-C62,2)</f>
        <v>0.16000000000000028</v>
      </c>
      <c r="R62" s="2">
        <f>POWER(R$4-D62,2)</f>
        <v>0.25</v>
      </c>
      <c r="S62" s="7">
        <f t="shared" si="3"/>
        <v>0.73484692283495356</v>
      </c>
      <c r="T62" s="2">
        <f>POWER(T$4-A62,2)</f>
        <v>8.99999999999999E-2</v>
      </c>
      <c r="U62" s="2">
        <f>POWER(U$4-B62,2)</f>
        <v>8.99999999999999E-2</v>
      </c>
      <c r="V62" s="2">
        <f>POWER(V$4-C62,2)</f>
        <v>0.64000000000000112</v>
      </c>
      <c r="W62" s="2">
        <f>POWER(W$4-D62,2)</f>
        <v>0.64000000000000012</v>
      </c>
      <c r="X62" s="7">
        <f t="shared" si="4"/>
        <v>1.2083045973594577</v>
      </c>
      <c r="Y62" s="9">
        <f t="shared" si="5"/>
        <v>0.73484692283495356</v>
      </c>
      <c r="Z62" t="str">
        <f>IF(Y62=N62,"C1",IF(Y62=S62,"C2",IF(Y62=X62,"C3")))</f>
        <v>C2</v>
      </c>
    </row>
    <row r="63" spans="1:47" x14ac:dyDescent="0.2">
      <c r="A63">
        <v>6.2</v>
      </c>
      <c r="B63">
        <v>2.2000000000000002</v>
      </c>
      <c r="C63">
        <v>4.5</v>
      </c>
      <c r="D63">
        <v>1.5</v>
      </c>
      <c r="E63" s="3" t="s">
        <v>6</v>
      </c>
      <c r="J63" s="2">
        <f>POWER(J$4-A63,2)</f>
        <v>0.16000000000000028</v>
      </c>
      <c r="K63" s="2">
        <f>POWER(K$4-B63,2)</f>
        <v>3.2399999999999993</v>
      </c>
      <c r="L63" s="2">
        <f>POWER(L$4-C63,2)</f>
        <v>10.889999999999999</v>
      </c>
      <c r="M63" s="2">
        <f>POWER(M$4-D63,2)</f>
        <v>1.6900000000000002</v>
      </c>
      <c r="N63" s="7">
        <f t="shared" si="2"/>
        <v>3.9974992182613369</v>
      </c>
      <c r="O63" s="2">
        <f>POWER(O$4-A63,2)</f>
        <v>0.36000000000000065</v>
      </c>
      <c r="P63" s="2">
        <f>POWER(P$4-B63,2)</f>
        <v>0.63999999999999968</v>
      </c>
      <c r="Q63" s="2">
        <f>POWER(Q$4-C63,2)</f>
        <v>0</v>
      </c>
      <c r="R63" s="2">
        <f>POWER(R$4-D63,2)</f>
        <v>0</v>
      </c>
      <c r="S63" s="7">
        <f t="shared" si="3"/>
        <v>1.0000000000000002</v>
      </c>
      <c r="T63" s="2">
        <f>POWER(T$4-A63,2)</f>
        <v>1.0000000000000106E-2</v>
      </c>
      <c r="U63" s="2">
        <f>POWER(U$4-B63,2)</f>
        <v>0.63999999999999968</v>
      </c>
      <c r="V63" s="2">
        <f>POWER(V$4-C63,2)</f>
        <v>0.16000000000000028</v>
      </c>
      <c r="W63" s="2">
        <f>POWER(W$4-D63,2)</f>
        <v>9.0000000000000024E-2</v>
      </c>
      <c r="X63" s="7">
        <f t="shared" si="4"/>
        <v>0.94868329805051388</v>
      </c>
      <c r="Y63" s="9">
        <f t="shared" si="5"/>
        <v>0.94868329805051388</v>
      </c>
      <c r="Z63" t="str">
        <f>IF(Y63=N63,"C1",IF(Y63=S63,"C2",IF(Y63=X63,"C3")))</f>
        <v>C3</v>
      </c>
    </row>
    <row r="64" spans="1:47" x14ac:dyDescent="0.2">
      <c r="A64">
        <v>5.6</v>
      </c>
      <c r="B64">
        <v>2.5</v>
      </c>
      <c r="C64">
        <v>3.9</v>
      </c>
      <c r="D64">
        <v>1.1000000000000001</v>
      </c>
      <c r="E64" s="3" t="s">
        <v>6</v>
      </c>
      <c r="J64" s="2">
        <f>POWER(J$4-A64,2)</f>
        <v>4.000000000000007E-2</v>
      </c>
      <c r="K64" s="2">
        <f>POWER(K$4-B64,2)</f>
        <v>2.25</v>
      </c>
      <c r="L64" s="2">
        <f>POWER(L$4-C64,2)</f>
        <v>7.2900000000000009</v>
      </c>
      <c r="M64" s="2">
        <f>POWER(M$4-D64,2)</f>
        <v>0.81000000000000028</v>
      </c>
      <c r="N64" s="7">
        <f t="shared" si="2"/>
        <v>3.22335229225724</v>
      </c>
      <c r="O64" s="2">
        <f>POWER(O$4-A64,2)</f>
        <v>0</v>
      </c>
      <c r="P64" s="2">
        <f>POWER(P$4-B64,2)</f>
        <v>0.25</v>
      </c>
      <c r="Q64" s="2">
        <f>POWER(Q$4-C64,2)</f>
        <v>0.3600000000000001</v>
      </c>
      <c r="R64" s="2">
        <f>POWER(R$4-D64,2)</f>
        <v>0.15999999999999992</v>
      </c>
      <c r="S64" s="7">
        <f t="shared" si="3"/>
        <v>0.87749643873921224</v>
      </c>
      <c r="T64" s="2">
        <f>POWER(T$4-A64,2)</f>
        <v>0.25</v>
      </c>
      <c r="U64" s="2">
        <f>POWER(U$4-B64,2)</f>
        <v>0.25</v>
      </c>
      <c r="V64" s="2">
        <f>POWER(V$4-C64,2)</f>
        <v>1.0000000000000009</v>
      </c>
      <c r="W64" s="2">
        <f>POWER(W$4-D64,2)</f>
        <v>0.48999999999999994</v>
      </c>
      <c r="X64" s="7">
        <f t="shared" si="4"/>
        <v>1.4106735979665888</v>
      </c>
      <c r="Y64" s="9">
        <f t="shared" si="5"/>
        <v>0.87749643873921224</v>
      </c>
      <c r="Z64" t="str">
        <f>IF(Y64=N64,"C1",IF(Y64=S64,"C2",IF(Y64=X64,"C3")))</f>
        <v>C2</v>
      </c>
    </row>
    <row r="65" spans="1:26" x14ac:dyDescent="0.2">
      <c r="A65">
        <v>5.9</v>
      </c>
      <c r="B65">
        <v>3.2</v>
      </c>
      <c r="C65">
        <v>4.8</v>
      </c>
      <c r="D65">
        <v>1.8</v>
      </c>
      <c r="E65" s="3" t="s">
        <v>6</v>
      </c>
      <c r="J65" s="2">
        <f>POWER(J$4-A65,2)</f>
        <v>1.0000000000000106E-2</v>
      </c>
      <c r="K65" s="2">
        <f>POWER(K$4-B65,2)</f>
        <v>0.63999999999999968</v>
      </c>
      <c r="L65" s="2">
        <f>POWER(L$4-C65,2)</f>
        <v>12.959999999999997</v>
      </c>
      <c r="M65" s="2">
        <f>POWER(M$4-D65,2)</f>
        <v>2.5600000000000005</v>
      </c>
      <c r="N65" s="7">
        <f t="shared" si="2"/>
        <v>4.0211938525766202</v>
      </c>
      <c r="O65" s="2">
        <f>POWER(O$4-A65,2)</f>
        <v>9.0000000000000427E-2</v>
      </c>
      <c r="P65" s="2">
        <f>POWER(P$4-B65,2)</f>
        <v>4.000000000000007E-2</v>
      </c>
      <c r="Q65" s="2">
        <f>POWER(Q$4-C65,2)</f>
        <v>8.99999999999999E-2</v>
      </c>
      <c r="R65" s="2">
        <f>POWER(R$4-D65,2)</f>
        <v>9.0000000000000024E-2</v>
      </c>
      <c r="S65" s="7">
        <f t="shared" si="3"/>
        <v>0.55677643628300255</v>
      </c>
      <c r="T65" s="2">
        <f>POWER(T$4-A65,2)</f>
        <v>3.9999999999999716E-2</v>
      </c>
      <c r="U65" s="2">
        <f>POWER(U$4-B65,2)</f>
        <v>4.000000000000007E-2</v>
      </c>
      <c r="V65" s="2">
        <f>POWER(V$4-C65,2)</f>
        <v>1.0000000000000106E-2</v>
      </c>
      <c r="W65" s="2">
        <f>POWER(W$4-D65,2)</f>
        <v>0</v>
      </c>
      <c r="X65" s="7">
        <f t="shared" si="4"/>
        <v>0.29999999999999982</v>
      </c>
      <c r="Y65" s="9">
        <f t="shared" si="5"/>
        <v>0.29999999999999982</v>
      </c>
      <c r="Z65" t="str">
        <f>IF(Y65=N65,"C1",IF(Y65=S65,"C2",IF(Y65=X65,"C3")))</f>
        <v>C3</v>
      </c>
    </row>
    <row r="66" spans="1:26" x14ac:dyDescent="0.2">
      <c r="A66">
        <v>6.1</v>
      </c>
      <c r="B66">
        <v>2.8</v>
      </c>
      <c r="C66">
        <v>4</v>
      </c>
      <c r="D66">
        <v>1.3</v>
      </c>
      <c r="E66" s="3" t="s">
        <v>6</v>
      </c>
      <c r="J66" s="2">
        <f>POWER(J$4-A66,2)</f>
        <v>8.99999999999999E-2</v>
      </c>
      <c r="K66" s="2">
        <f>POWER(K$4-B66,2)</f>
        <v>1.4400000000000004</v>
      </c>
      <c r="L66" s="2">
        <f>POWER(L$4-C66,2)</f>
        <v>7.839999999999999</v>
      </c>
      <c r="M66" s="2">
        <f>POWER(M$4-D66,2)</f>
        <v>1.2100000000000002</v>
      </c>
      <c r="N66" s="7">
        <f t="shared" si="2"/>
        <v>3.2526911934581184</v>
      </c>
      <c r="O66" s="2">
        <f>POWER(O$4-A66,2)</f>
        <v>0.25</v>
      </c>
      <c r="P66" s="2">
        <f>POWER(P$4-B66,2)</f>
        <v>4.000000000000007E-2</v>
      </c>
      <c r="Q66" s="2">
        <f>POWER(Q$4-C66,2)</f>
        <v>0.25</v>
      </c>
      <c r="R66" s="2">
        <f>POWER(R$4-D66,2)</f>
        <v>3.999999999999998E-2</v>
      </c>
      <c r="S66" s="7">
        <f t="shared" si="3"/>
        <v>0.76157731058639089</v>
      </c>
      <c r="T66" s="2">
        <f>POWER(T$4-A66,2)</f>
        <v>0</v>
      </c>
      <c r="U66" s="2">
        <f>POWER(U$4-B66,2)</f>
        <v>4.000000000000007E-2</v>
      </c>
      <c r="V66" s="2">
        <f>POWER(V$4-C66,2)</f>
        <v>0.81000000000000061</v>
      </c>
      <c r="W66" s="2">
        <f>POWER(W$4-D66,2)</f>
        <v>0.25</v>
      </c>
      <c r="X66" s="7">
        <f t="shared" si="4"/>
        <v>1.0488088481701519</v>
      </c>
      <c r="Y66" s="9">
        <f t="shared" si="5"/>
        <v>0.76157731058639089</v>
      </c>
      <c r="Z66" t="str">
        <f>IF(Y66=N66,"C1",IF(Y66=S66,"C2",IF(Y66=X66,"C3")))</f>
        <v>C2</v>
      </c>
    </row>
    <row r="67" spans="1:26" x14ac:dyDescent="0.2">
      <c r="A67">
        <v>6.3</v>
      </c>
      <c r="B67">
        <v>2.5</v>
      </c>
      <c r="C67">
        <v>4.9000000000000004</v>
      </c>
      <c r="D67">
        <v>1.5</v>
      </c>
      <c r="E67" s="3" t="s">
        <v>6</v>
      </c>
      <c r="J67" s="2">
        <f>POWER(J$4-A67,2)</f>
        <v>0.25</v>
      </c>
      <c r="K67" s="2">
        <f>POWER(K$4-B67,2)</f>
        <v>2.25</v>
      </c>
      <c r="L67" s="2">
        <f>POWER(L$4-C67,2)</f>
        <v>13.690000000000001</v>
      </c>
      <c r="M67" s="2">
        <f>POWER(M$4-D67,2)</f>
        <v>1.6900000000000002</v>
      </c>
      <c r="N67" s="7">
        <f t="shared" si="2"/>
        <v>4.2284749023731951</v>
      </c>
      <c r="O67" s="2">
        <f>POWER(O$4-A67,2)</f>
        <v>0.49000000000000027</v>
      </c>
      <c r="P67" s="2">
        <f>POWER(P$4-B67,2)</f>
        <v>0.25</v>
      </c>
      <c r="Q67" s="2">
        <f>POWER(Q$4-C67,2)</f>
        <v>0.16000000000000028</v>
      </c>
      <c r="R67" s="2">
        <f>POWER(R$4-D67,2)</f>
        <v>0</v>
      </c>
      <c r="S67" s="7">
        <f t="shared" si="3"/>
        <v>0.94868329805051399</v>
      </c>
      <c r="T67" s="2">
        <f>POWER(T$4-A67,2)</f>
        <v>4.000000000000007E-2</v>
      </c>
      <c r="U67" s="2">
        <f>POWER(U$4-B67,2)</f>
        <v>0.25</v>
      </c>
      <c r="V67" s="2">
        <f>POWER(V$4-C67,2)</f>
        <v>0</v>
      </c>
      <c r="W67" s="2">
        <f>POWER(W$4-D67,2)</f>
        <v>9.0000000000000024E-2</v>
      </c>
      <c r="X67" s="7">
        <f t="shared" si="4"/>
        <v>0.61644140029689776</v>
      </c>
      <c r="Y67" s="9">
        <f t="shared" si="5"/>
        <v>0.61644140029689776</v>
      </c>
      <c r="Z67" t="str">
        <f>IF(Y67=N67,"C1",IF(Y67=S67,"C2",IF(Y67=X67,"C3")))</f>
        <v>C3</v>
      </c>
    </row>
    <row r="68" spans="1:26" x14ac:dyDescent="0.2">
      <c r="A68">
        <v>6.1</v>
      </c>
      <c r="B68">
        <v>2.8</v>
      </c>
      <c r="C68">
        <v>4.7</v>
      </c>
      <c r="D68">
        <v>1.2</v>
      </c>
      <c r="E68" s="3" t="s">
        <v>6</v>
      </c>
      <c r="J68" s="2">
        <f>POWER(J$4-A68,2)</f>
        <v>8.99999999999999E-2</v>
      </c>
      <c r="K68" s="2">
        <f>POWER(K$4-B68,2)</f>
        <v>1.4400000000000004</v>
      </c>
      <c r="L68" s="2">
        <f>POWER(L$4-C68,2)</f>
        <v>12.25</v>
      </c>
      <c r="M68" s="2">
        <f>POWER(M$4-D68,2)</f>
        <v>1</v>
      </c>
      <c r="N68" s="7">
        <f t="shared" si="2"/>
        <v>3.8444765573482171</v>
      </c>
      <c r="O68" s="2">
        <f>POWER(O$4-A68,2)</f>
        <v>0.25</v>
      </c>
      <c r="P68" s="2">
        <f>POWER(P$4-B68,2)</f>
        <v>4.000000000000007E-2</v>
      </c>
      <c r="Q68" s="2">
        <f>POWER(Q$4-C68,2)</f>
        <v>4.000000000000007E-2</v>
      </c>
      <c r="R68" s="2">
        <f>POWER(R$4-D68,2)</f>
        <v>9.0000000000000024E-2</v>
      </c>
      <c r="S68" s="7">
        <f t="shared" si="3"/>
        <v>0.64807406984078619</v>
      </c>
      <c r="T68" s="2">
        <f>POWER(T$4-A68,2)</f>
        <v>0</v>
      </c>
      <c r="U68" s="2">
        <f>POWER(U$4-B68,2)</f>
        <v>4.000000000000007E-2</v>
      </c>
      <c r="V68" s="2">
        <f>POWER(V$4-C68,2)</f>
        <v>4.000000000000007E-2</v>
      </c>
      <c r="W68" s="2">
        <f>POWER(W$4-D68,2)</f>
        <v>0.3600000000000001</v>
      </c>
      <c r="X68" s="7">
        <f t="shared" si="4"/>
        <v>0.66332495807108016</v>
      </c>
      <c r="Y68" s="9">
        <f t="shared" si="5"/>
        <v>0.64807406984078619</v>
      </c>
      <c r="Z68" t="str">
        <f>IF(Y68=N68,"C1",IF(Y68=S68,"C2",IF(Y68=X68,"C3")))</f>
        <v>C2</v>
      </c>
    </row>
    <row r="69" spans="1:26" x14ac:dyDescent="0.2">
      <c r="A69">
        <v>6.4</v>
      </c>
      <c r="B69">
        <v>2.9</v>
      </c>
      <c r="C69">
        <v>4.3</v>
      </c>
      <c r="D69">
        <v>1.3</v>
      </c>
      <c r="E69" s="3" t="s">
        <v>6</v>
      </c>
      <c r="J69" s="2">
        <f>POWER(J$4-A69,2)</f>
        <v>0.36000000000000065</v>
      </c>
      <c r="K69" s="2">
        <f>POWER(K$4-B69,2)</f>
        <v>1.2100000000000002</v>
      </c>
      <c r="L69" s="2">
        <f>POWER(L$4-C69,2)</f>
        <v>9.6099999999999977</v>
      </c>
      <c r="M69" s="2">
        <f>POWER(M$4-D69,2)</f>
        <v>1.2100000000000002</v>
      </c>
      <c r="N69" s="7">
        <f t="shared" si="2"/>
        <v>3.5199431813596083</v>
      </c>
      <c r="O69" s="2">
        <f>POWER(O$4-A69,2)</f>
        <v>0.64000000000000112</v>
      </c>
      <c r="P69" s="2">
        <f>POWER(P$4-B69,2)</f>
        <v>1.0000000000000018E-2</v>
      </c>
      <c r="Q69" s="2">
        <f>POWER(Q$4-C69,2)</f>
        <v>4.000000000000007E-2</v>
      </c>
      <c r="R69" s="2">
        <f>POWER(R$4-D69,2)</f>
        <v>3.999999999999998E-2</v>
      </c>
      <c r="S69" s="7">
        <f t="shared" si="3"/>
        <v>0.85440037453175377</v>
      </c>
      <c r="T69" s="2">
        <f>POWER(T$4-A69,2)</f>
        <v>9.0000000000000427E-2</v>
      </c>
      <c r="U69" s="2">
        <f>POWER(U$4-B69,2)</f>
        <v>1.0000000000000018E-2</v>
      </c>
      <c r="V69" s="2">
        <f>POWER(V$4-C69,2)</f>
        <v>0.36000000000000065</v>
      </c>
      <c r="W69" s="2">
        <f>POWER(W$4-D69,2)</f>
        <v>0.25</v>
      </c>
      <c r="X69" s="7">
        <f t="shared" si="4"/>
        <v>0.84261497731763646</v>
      </c>
      <c r="Y69" s="9">
        <f t="shared" si="5"/>
        <v>0.84261497731763646</v>
      </c>
      <c r="Z69" t="str">
        <f>IF(Y69=N69,"C1",IF(Y69=S69,"C2",IF(Y69=X69,"C3")))</f>
        <v>C3</v>
      </c>
    </row>
    <row r="70" spans="1:26" x14ac:dyDescent="0.2">
      <c r="A70">
        <v>6.6</v>
      </c>
      <c r="B70">
        <v>3</v>
      </c>
      <c r="C70">
        <v>4.4000000000000004</v>
      </c>
      <c r="D70">
        <v>1.4</v>
      </c>
      <c r="E70" s="3" t="s">
        <v>6</v>
      </c>
      <c r="J70" s="2">
        <f>POWER(J$4-A70,2)</f>
        <v>0.63999999999999968</v>
      </c>
      <c r="K70" s="2">
        <f>POWER(K$4-B70,2)</f>
        <v>1</v>
      </c>
      <c r="L70" s="2">
        <f>POWER(L$4-C70,2)</f>
        <v>10.240000000000002</v>
      </c>
      <c r="M70" s="2">
        <f>POWER(M$4-D70,2)</f>
        <v>1.44</v>
      </c>
      <c r="N70" s="7">
        <f t="shared" ref="N70:N124" si="7">SQRT(SUM(J70:M70))</f>
        <v>3.6496575181789321</v>
      </c>
      <c r="O70" s="2">
        <f>POWER(O$4-A70,2)</f>
        <v>1</v>
      </c>
      <c r="P70" s="2">
        <f>POWER(P$4-B70,2)</f>
        <v>0</v>
      </c>
      <c r="Q70" s="2">
        <f>POWER(Q$4-C70,2)</f>
        <v>9.9999999999999291E-3</v>
      </c>
      <c r="R70" s="2">
        <f>POWER(R$4-D70,2)</f>
        <v>1.0000000000000018E-2</v>
      </c>
      <c r="S70" s="7">
        <f t="shared" ref="S70:S124" si="8">SQRT(SUM(O70:R70))</f>
        <v>1.0099504938362078</v>
      </c>
      <c r="T70" s="2">
        <f>POWER(T$4-A70,2)</f>
        <v>0.25</v>
      </c>
      <c r="U70" s="2">
        <f>POWER(U$4-B70,2)</f>
        <v>0</v>
      </c>
      <c r="V70" s="2">
        <f>POWER(V$4-C70,2)</f>
        <v>0.25</v>
      </c>
      <c r="W70" s="2">
        <f>POWER(W$4-D70,2)</f>
        <v>0.16000000000000011</v>
      </c>
      <c r="X70" s="7">
        <f t="shared" ref="X70:X124" si="9">SQRT(SUM(T70:W70))</f>
        <v>0.81240384046359615</v>
      </c>
      <c r="Y70" s="9">
        <f t="shared" ref="Y70:Y124" si="10">MIN(N70,S70,X70)</f>
        <v>0.81240384046359615</v>
      </c>
      <c r="Z70" t="str">
        <f>IF(Y70=N70,"C1",IF(Y70=S70,"C2",IF(Y70=X70,"C3")))</f>
        <v>C3</v>
      </c>
    </row>
    <row r="71" spans="1:26" x14ac:dyDescent="0.2">
      <c r="A71">
        <v>6.8</v>
      </c>
      <c r="B71">
        <v>2.8</v>
      </c>
      <c r="C71">
        <v>4.8</v>
      </c>
      <c r="D71">
        <v>1.4</v>
      </c>
      <c r="E71" s="3" t="s">
        <v>6</v>
      </c>
      <c r="J71" s="2">
        <f>POWER(J$4-A71,2)</f>
        <v>1</v>
      </c>
      <c r="K71" s="2">
        <f>POWER(K$4-B71,2)</f>
        <v>1.4400000000000004</v>
      </c>
      <c r="L71" s="2">
        <f>POWER(L$4-C71,2)</f>
        <v>12.959999999999997</v>
      </c>
      <c r="M71" s="2">
        <f>POWER(M$4-D71,2)</f>
        <v>1.44</v>
      </c>
      <c r="N71" s="7">
        <f t="shared" si="7"/>
        <v>4.1036569057366385</v>
      </c>
      <c r="O71" s="2">
        <f>POWER(O$4-A71,2)</f>
        <v>1.4400000000000004</v>
      </c>
      <c r="P71" s="2">
        <f>POWER(P$4-B71,2)</f>
        <v>4.000000000000007E-2</v>
      </c>
      <c r="Q71" s="2">
        <f>POWER(Q$4-C71,2)</f>
        <v>8.99999999999999E-2</v>
      </c>
      <c r="R71" s="2">
        <f>POWER(R$4-D71,2)</f>
        <v>1.0000000000000018E-2</v>
      </c>
      <c r="S71" s="7">
        <f t="shared" si="8"/>
        <v>1.2569805089976536</v>
      </c>
      <c r="T71" s="2">
        <f>POWER(T$4-A71,2)</f>
        <v>0.49000000000000027</v>
      </c>
      <c r="U71" s="2">
        <f>POWER(U$4-B71,2)</f>
        <v>4.000000000000007E-2</v>
      </c>
      <c r="V71" s="2">
        <f>POWER(V$4-C71,2)</f>
        <v>1.0000000000000106E-2</v>
      </c>
      <c r="W71" s="2">
        <f>POWER(W$4-D71,2)</f>
        <v>0.16000000000000011</v>
      </c>
      <c r="X71" s="7">
        <f t="shared" si="9"/>
        <v>0.8366600265340759</v>
      </c>
      <c r="Y71" s="9">
        <f t="shared" si="10"/>
        <v>0.8366600265340759</v>
      </c>
      <c r="Z71" t="str">
        <f>IF(Y71=N71,"C1",IF(Y71=S71,"C2",IF(Y71=X71,"C3")))</f>
        <v>C3</v>
      </c>
    </row>
    <row r="72" spans="1:26" x14ac:dyDescent="0.2">
      <c r="A72">
        <v>6.7</v>
      </c>
      <c r="B72">
        <v>3</v>
      </c>
      <c r="C72">
        <v>5</v>
      </c>
      <c r="D72">
        <v>1.7</v>
      </c>
      <c r="E72" s="3" t="s">
        <v>6</v>
      </c>
      <c r="J72" s="2">
        <f>POWER(J$4-A72,2)</f>
        <v>0.81000000000000061</v>
      </c>
      <c r="K72" s="2">
        <f>POWER(K$4-B72,2)</f>
        <v>1</v>
      </c>
      <c r="L72" s="2">
        <f>POWER(L$4-C72,2)</f>
        <v>14.44</v>
      </c>
      <c r="M72" s="2">
        <f>POWER(M$4-D72,2)</f>
        <v>2.25</v>
      </c>
      <c r="N72" s="7">
        <f t="shared" si="7"/>
        <v>4.3011626335213133</v>
      </c>
      <c r="O72" s="2">
        <f>POWER(O$4-A72,2)</f>
        <v>1.2100000000000011</v>
      </c>
      <c r="P72" s="2">
        <f>POWER(P$4-B72,2)</f>
        <v>0</v>
      </c>
      <c r="Q72" s="2">
        <f>POWER(Q$4-C72,2)</f>
        <v>0.25</v>
      </c>
      <c r="R72" s="2">
        <f>POWER(R$4-D72,2)</f>
        <v>3.999999999999998E-2</v>
      </c>
      <c r="S72" s="7">
        <f t="shared" si="8"/>
        <v>1.2247448713915896</v>
      </c>
      <c r="T72" s="2">
        <f>POWER(T$4-A72,2)</f>
        <v>0.36000000000000065</v>
      </c>
      <c r="U72" s="2">
        <f>POWER(U$4-B72,2)</f>
        <v>0</v>
      </c>
      <c r="V72" s="2">
        <f>POWER(V$4-C72,2)</f>
        <v>9.9999999999999291E-3</v>
      </c>
      <c r="W72" s="2">
        <f>POWER(W$4-D72,2)</f>
        <v>1.0000000000000018E-2</v>
      </c>
      <c r="X72" s="7">
        <f t="shared" si="9"/>
        <v>0.61644140029689809</v>
      </c>
      <c r="Y72" s="9">
        <f t="shared" si="10"/>
        <v>0.61644140029689809</v>
      </c>
      <c r="Z72" t="str">
        <f>IF(Y72=N72,"C1",IF(Y72=S72,"C2",IF(Y72=X72,"C3")))</f>
        <v>C3</v>
      </c>
    </row>
    <row r="73" spans="1:26" x14ac:dyDescent="0.2">
      <c r="A73">
        <v>6</v>
      </c>
      <c r="B73">
        <v>2.9</v>
      </c>
      <c r="C73">
        <v>4.5</v>
      </c>
      <c r="D73">
        <v>1.5</v>
      </c>
      <c r="E73" s="3" t="s">
        <v>6</v>
      </c>
      <c r="J73" s="2">
        <f>POWER(J$4-A73,2)</f>
        <v>4.000000000000007E-2</v>
      </c>
      <c r="K73" s="2">
        <f>POWER(K$4-B73,2)</f>
        <v>1.2100000000000002</v>
      </c>
      <c r="L73" s="2">
        <f>POWER(L$4-C73,2)</f>
        <v>10.889999999999999</v>
      </c>
      <c r="M73" s="2">
        <f>POWER(M$4-D73,2)</f>
        <v>1.6900000000000002</v>
      </c>
      <c r="N73" s="7">
        <f t="shared" si="7"/>
        <v>3.7188707963574101</v>
      </c>
      <c r="O73" s="2">
        <f>POWER(O$4-A73,2)</f>
        <v>0.16000000000000028</v>
      </c>
      <c r="P73" s="2">
        <f>POWER(P$4-B73,2)</f>
        <v>1.0000000000000018E-2</v>
      </c>
      <c r="Q73" s="2">
        <f>POWER(Q$4-C73,2)</f>
        <v>0</v>
      </c>
      <c r="R73" s="2">
        <f>POWER(R$4-D73,2)</f>
        <v>0</v>
      </c>
      <c r="S73" s="7">
        <f t="shared" si="8"/>
        <v>0.4123105625617664</v>
      </c>
      <c r="T73" s="2">
        <f>POWER(T$4-A73,2)</f>
        <v>9.9999999999999291E-3</v>
      </c>
      <c r="U73" s="2">
        <f>POWER(U$4-B73,2)</f>
        <v>1.0000000000000018E-2</v>
      </c>
      <c r="V73" s="2">
        <f>POWER(V$4-C73,2)</f>
        <v>0.16000000000000028</v>
      </c>
      <c r="W73" s="2">
        <f>POWER(W$4-D73,2)</f>
        <v>9.0000000000000024E-2</v>
      </c>
      <c r="X73" s="7">
        <f t="shared" si="9"/>
        <v>0.51961524227066347</v>
      </c>
      <c r="Y73" s="9">
        <f t="shared" si="10"/>
        <v>0.4123105625617664</v>
      </c>
      <c r="Z73" t="str">
        <f>IF(Y73=N73,"C1",IF(Y73=S73,"C2",IF(Y73=X73,"C3")))</f>
        <v>C2</v>
      </c>
    </row>
    <row r="74" spans="1:26" x14ac:dyDescent="0.2">
      <c r="A74">
        <v>5.7</v>
      </c>
      <c r="B74">
        <v>2.6</v>
      </c>
      <c r="C74">
        <v>3.5</v>
      </c>
      <c r="D74">
        <v>1</v>
      </c>
      <c r="E74" s="3" t="s">
        <v>6</v>
      </c>
      <c r="J74" s="2">
        <f>POWER(J$4-A74,2)</f>
        <v>9.9999999999999291E-3</v>
      </c>
      <c r="K74" s="2">
        <f>POWER(K$4-B74,2)</f>
        <v>1.9599999999999997</v>
      </c>
      <c r="L74" s="2">
        <f>POWER(L$4-C74,2)</f>
        <v>5.2899999999999991</v>
      </c>
      <c r="M74" s="2">
        <f>POWER(M$4-D74,2)</f>
        <v>0.64000000000000012</v>
      </c>
      <c r="N74" s="7">
        <f t="shared" si="7"/>
        <v>2.8106938645110389</v>
      </c>
      <c r="O74" s="2">
        <f>POWER(O$4-A74,2)</f>
        <v>1.0000000000000106E-2</v>
      </c>
      <c r="P74" s="2">
        <f>POWER(P$4-B74,2)</f>
        <v>0.15999999999999992</v>
      </c>
      <c r="Q74" s="2">
        <f>POWER(Q$4-C74,2)</f>
        <v>1</v>
      </c>
      <c r="R74" s="2">
        <f>POWER(R$4-D74,2)</f>
        <v>0.25</v>
      </c>
      <c r="S74" s="7">
        <f t="shared" si="8"/>
        <v>1.1916375287812984</v>
      </c>
      <c r="T74" s="2">
        <f>POWER(T$4-A74,2)</f>
        <v>0.15999999999999959</v>
      </c>
      <c r="U74" s="2">
        <f>POWER(U$4-B74,2)</f>
        <v>0.15999999999999992</v>
      </c>
      <c r="V74" s="2">
        <f>POWER(V$4-C74,2)</f>
        <v>1.9600000000000011</v>
      </c>
      <c r="W74" s="2">
        <f>POWER(W$4-D74,2)</f>
        <v>0.64000000000000012</v>
      </c>
      <c r="X74" s="7">
        <f t="shared" si="9"/>
        <v>1.7088007490635064</v>
      </c>
      <c r="Y74" s="9">
        <f t="shared" si="10"/>
        <v>1.1916375287812984</v>
      </c>
      <c r="Z74" t="str">
        <f>IF(Y74=N74,"C1",IF(Y74=S74,"C2",IF(Y74=X74,"C3")))</f>
        <v>C2</v>
      </c>
    </row>
    <row r="75" spans="1:26" x14ac:dyDescent="0.2">
      <c r="A75">
        <v>5.5</v>
      </c>
      <c r="B75">
        <v>2.6</v>
      </c>
      <c r="C75">
        <v>4.4000000000000004</v>
      </c>
      <c r="D75">
        <v>1.2</v>
      </c>
      <c r="E75" s="3" t="s">
        <v>6</v>
      </c>
      <c r="J75" s="2">
        <f>POWER(J$4-A75,2)</f>
        <v>8.99999999999999E-2</v>
      </c>
      <c r="K75" s="2">
        <f>POWER(K$4-B75,2)</f>
        <v>1.9599999999999997</v>
      </c>
      <c r="L75" s="2">
        <f>POWER(L$4-C75,2)</f>
        <v>10.240000000000002</v>
      </c>
      <c r="M75" s="2">
        <f>POWER(M$4-D75,2)</f>
        <v>1</v>
      </c>
      <c r="N75" s="7">
        <f t="shared" si="7"/>
        <v>3.6455452267116373</v>
      </c>
      <c r="O75" s="2">
        <f>POWER(O$4-A75,2)</f>
        <v>9.9999999999999291E-3</v>
      </c>
      <c r="P75" s="2">
        <f>POWER(P$4-B75,2)</f>
        <v>0.15999999999999992</v>
      </c>
      <c r="Q75" s="2">
        <f>POWER(Q$4-C75,2)</f>
        <v>9.9999999999999291E-3</v>
      </c>
      <c r="R75" s="2">
        <f>POWER(R$4-D75,2)</f>
        <v>9.0000000000000024E-2</v>
      </c>
      <c r="S75" s="7">
        <f t="shared" si="8"/>
        <v>0.51961524227066302</v>
      </c>
      <c r="T75" s="2">
        <f>POWER(T$4-A75,2)</f>
        <v>0.3599999999999996</v>
      </c>
      <c r="U75" s="2">
        <f>POWER(U$4-B75,2)</f>
        <v>0.15999999999999992</v>
      </c>
      <c r="V75" s="2">
        <f>POWER(V$4-C75,2)</f>
        <v>0.25</v>
      </c>
      <c r="W75" s="2">
        <f>POWER(W$4-D75,2)</f>
        <v>0.3600000000000001</v>
      </c>
      <c r="X75" s="7">
        <f t="shared" si="9"/>
        <v>1.0630145812734648</v>
      </c>
      <c r="Y75" s="9">
        <f t="shared" si="10"/>
        <v>0.51961524227066302</v>
      </c>
      <c r="Z75" t="str">
        <f>IF(Y75=N75,"C1",IF(Y75=S75,"C2",IF(Y75=X75,"C3")))</f>
        <v>C2</v>
      </c>
    </row>
    <row r="76" spans="1:26" x14ac:dyDescent="0.2">
      <c r="A76">
        <v>6.1</v>
      </c>
      <c r="B76">
        <v>3</v>
      </c>
      <c r="C76">
        <v>4.5999999999999996</v>
      </c>
      <c r="D76">
        <v>1.4</v>
      </c>
      <c r="E76" s="3" t="s">
        <v>6</v>
      </c>
      <c r="J76" s="2">
        <f>POWER(J$4-A76,2)</f>
        <v>8.99999999999999E-2</v>
      </c>
      <c r="K76" s="2">
        <f>POWER(K$4-B76,2)</f>
        <v>1</v>
      </c>
      <c r="L76" s="2">
        <f>POWER(L$4-C76,2)</f>
        <v>11.559999999999997</v>
      </c>
      <c r="M76" s="2">
        <f>POWER(M$4-D76,2)</f>
        <v>1.44</v>
      </c>
      <c r="N76" s="7">
        <f t="shared" si="7"/>
        <v>3.7536648758246915</v>
      </c>
      <c r="O76" s="2">
        <f>POWER(O$4-A76,2)</f>
        <v>0.25</v>
      </c>
      <c r="P76" s="2">
        <f>POWER(P$4-B76,2)</f>
        <v>0</v>
      </c>
      <c r="Q76" s="2">
        <f>POWER(Q$4-C76,2)</f>
        <v>9.9999999999999291E-3</v>
      </c>
      <c r="R76" s="2">
        <f>POWER(R$4-D76,2)</f>
        <v>1.0000000000000018E-2</v>
      </c>
      <c r="S76" s="7">
        <f t="shared" si="8"/>
        <v>0.51961524227066314</v>
      </c>
      <c r="T76" s="2">
        <f>POWER(T$4-A76,2)</f>
        <v>0</v>
      </c>
      <c r="U76" s="2">
        <f>POWER(U$4-B76,2)</f>
        <v>0</v>
      </c>
      <c r="V76" s="2">
        <f>POWER(V$4-C76,2)</f>
        <v>9.0000000000000427E-2</v>
      </c>
      <c r="W76" s="2">
        <f>POWER(W$4-D76,2)</f>
        <v>0.16000000000000011</v>
      </c>
      <c r="X76" s="7">
        <f t="shared" si="9"/>
        <v>0.50000000000000056</v>
      </c>
      <c r="Y76" s="9">
        <f t="shared" si="10"/>
        <v>0.50000000000000056</v>
      </c>
      <c r="Z76" t="str">
        <f>IF(Y76=N76,"C1",IF(Y76=S76,"C2",IF(Y76=X76,"C3")))</f>
        <v>C3</v>
      </c>
    </row>
    <row r="77" spans="1:26" x14ac:dyDescent="0.2">
      <c r="A77">
        <v>5.8</v>
      </c>
      <c r="B77">
        <v>2.6</v>
      </c>
      <c r="C77">
        <v>4</v>
      </c>
      <c r="D77">
        <v>1.2</v>
      </c>
      <c r="E77" s="3" t="s">
        <v>6</v>
      </c>
      <c r="J77" s="2">
        <f>POWER(J$4-A77,2)</f>
        <v>0</v>
      </c>
      <c r="K77" s="2">
        <f>POWER(K$4-B77,2)</f>
        <v>1.9599999999999997</v>
      </c>
      <c r="L77" s="2">
        <f>POWER(L$4-C77,2)</f>
        <v>7.839999999999999</v>
      </c>
      <c r="M77" s="2">
        <f>POWER(M$4-D77,2)</f>
        <v>1</v>
      </c>
      <c r="N77" s="7">
        <f t="shared" si="7"/>
        <v>3.2863353450309964</v>
      </c>
      <c r="O77" s="2">
        <f>POWER(O$4-A77,2)</f>
        <v>4.000000000000007E-2</v>
      </c>
      <c r="P77" s="2">
        <f>POWER(P$4-B77,2)</f>
        <v>0.15999999999999992</v>
      </c>
      <c r="Q77" s="2">
        <f>POWER(Q$4-C77,2)</f>
        <v>0.25</v>
      </c>
      <c r="R77" s="2">
        <f>POWER(R$4-D77,2)</f>
        <v>9.0000000000000024E-2</v>
      </c>
      <c r="S77" s="7">
        <f t="shared" si="8"/>
        <v>0.73484692283495345</v>
      </c>
      <c r="T77" s="2">
        <f>POWER(T$4-A77,2)</f>
        <v>8.99999999999999E-2</v>
      </c>
      <c r="U77" s="2">
        <f>POWER(U$4-B77,2)</f>
        <v>0.15999999999999992</v>
      </c>
      <c r="V77" s="2">
        <f>POWER(V$4-C77,2)</f>
        <v>0.81000000000000061</v>
      </c>
      <c r="W77" s="2">
        <f>POWER(W$4-D77,2)</f>
        <v>0.3600000000000001</v>
      </c>
      <c r="X77" s="7">
        <f t="shared" si="9"/>
        <v>1.1916375287812988</v>
      </c>
      <c r="Y77" s="9">
        <f t="shared" si="10"/>
        <v>0.73484692283495345</v>
      </c>
      <c r="Z77" t="str">
        <f>IF(Y77=N77,"C1",IF(Y77=S77,"C2",IF(Y77=X77,"C3")))</f>
        <v>C2</v>
      </c>
    </row>
    <row r="78" spans="1:26" x14ac:dyDescent="0.2">
      <c r="A78">
        <v>5</v>
      </c>
      <c r="B78">
        <v>2.2999999999999998</v>
      </c>
      <c r="C78">
        <v>3.3</v>
      </c>
      <c r="D78">
        <v>1</v>
      </c>
      <c r="E78" s="3" t="s">
        <v>6</v>
      </c>
      <c r="J78" s="2">
        <f>POWER(J$4-A78,2)</f>
        <v>0.63999999999999968</v>
      </c>
      <c r="K78" s="2">
        <f>POWER(K$4-B78,2)</f>
        <v>2.8900000000000006</v>
      </c>
      <c r="L78" s="2">
        <f>POWER(L$4-C78,2)</f>
        <v>4.4099999999999984</v>
      </c>
      <c r="M78" s="2">
        <f>POWER(M$4-D78,2)</f>
        <v>0.64000000000000012</v>
      </c>
      <c r="N78" s="7">
        <f t="shared" si="7"/>
        <v>2.9291637031753615</v>
      </c>
      <c r="O78" s="2">
        <f>POWER(O$4-A78,2)</f>
        <v>0.3599999999999996</v>
      </c>
      <c r="P78" s="2">
        <f>POWER(P$4-B78,2)</f>
        <v>0.49000000000000027</v>
      </c>
      <c r="Q78" s="2">
        <f>POWER(Q$4-C78,2)</f>
        <v>1.4400000000000004</v>
      </c>
      <c r="R78" s="2">
        <f>POWER(R$4-D78,2)</f>
        <v>0.25</v>
      </c>
      <c r="S78" s="7">
        <f t="shared" si="8"/>
        <v>1.5937377450509227</v>
      </c>
      <c r="T78" s="2">
        <f>POWER(T$4-A78,2)</f>
        <v>1.2099999999999993</v>
      </c>
      <c r="U78" s="2">
        <f>POWER(U$4-B78,2)</f>
        <v>0.49000000000000027</v>
      </c>
      <c r="V78" s="2">
        <f>POWER(V$4-C78,2)</f>
        <v>2.5600000000000018</v>
      </c>
      <c r="W78" s="2">
        <f>POWER(W$4-D78,2)</f>
        <v>0.64000000000000012</v>
      </c>
      <c r="X78" s="7">
        <f t="shared" si="9"/>
        <v>2.213594362117866</v>
      </c>
      <c r="Y78" s="9">
        <f t="shared" si="10"/>
        <v>1.5937377450509227</v>
      </c>
      <c r="Z78" t="str">
        <f>IF(Y78=N78,"C1",IF(Y78=S78,"C2",IF(Y78=X78,"C3")))</f>
        <v>C2</v>
      </c>
    </row>
    <row r="79" spans="1:26" x14ac:dyDescent="0.2">
      <c r="A79">
        <v>5.6</v>
      </c>
      <c r="B79">
        <v>2.7</v>
      </c>
      <c r="C79">
        <v>4.2</v>
      </c>
      <c r="D79">
        <v>1.3</v>
      </c>
      <c r="E79" s="3" t="s">
        <v>6</v>
      </c>
      <c r="J79" s="2">
        <f>POWER(J$4-A79,2)</f>
        <v>4.000000000000007E-2</v>
      </c>
      <c r="K79" s="2">
        <f>POWER(K$4-B79,2)</f>
        <v>1.6899999999999995</v>
      </c>
      <c r="L79" s="2">
        <f>POWER(L$4-C79,2)</f>
        <v>9</v>
      </c>
      <c r="M79" s="2">
        <f>POWER(M$4-D79,2)</f>
        <v>1.2100000000000002</v>
      </c>
      <c r="N79" s="7">
        <f t="shared" si="7"/>
        <v>3.4554305086341994</v>
      </c>
      <c r="O79" s="2">
        <f>POWER(O$4-A79,2)</f>
        <v>0</v>
      </c>
      <c r="P79" s="2">
        <f>POWER(P$4-B79,2)</f>
        <v>8.99999999999999E-2</v>
      </c>
      <c r="Q79" s="2">
        <f>POWER(Q$4-C79,2)</f>
        <v>8.99999999999999E-2</v>
      </c>
      <c r="R79" s="2">
        <f>POWER(R$4-D79,2)</f>
        <v>3.999999999999998E-2</v>
      </c>
      <c r="S79" s="7">
        <f t="shared" si="8"/>
        <v>0.4690415759823427</v>
      </c>
      <c r="T79" s="2">
        <f>POWER(T$4-A79,2)</f>
        <v>0.25</v>
      </c>
      <c r="U79" s="2">
        <f>POWER(U$4-B79,2)</f>
        <v>8.99999999999999E-2</v>
      </c>
      <c r="V79" s="2">
        <f>POWER(V$4-C79,2)</f>
        <v>0.49000000000000027</v>
      </c>
      <c r="W79" s="2">
        <f>POWER(W$4-D79,2)</f>
        <v>0.25</v>
      </c>
      <c r="X79" s="7">
        <f t="shared" si="9"/>
        <v>1.0392304845413265</v>
      </c>
      <c r="Y79" s="9">
        <f t="shared" si="10"/>
        <v>0.4690415759823427</v>
      </c>
      <c r="Z79" t="str">
        <f>IF(Y79=N79,"C1",IF(Y79=S79,"C2",IF(Y79=X79,"C3")))</f>
        <v>C2</v>
      </c>
    </row>
    <row r="80" spans="1:26" x14ac:dyDescent="0.2">
      <c r="A80">
        <v>5.7</v>
      </c>
      <c r="B80">
        <v>3</v>
      </c>
      <c r="C80">
        <v>4.2</v>
      </c>
      <c r="D80">
        <v>1.2</v>
      </c>
      <c r="E80" s="3" t="s">
        <v>6</v>
      </c>
      <c r="J80" s="2">
        <f>POWER(J$4-A80,2)</f>
        <v>9.9999999999999291E-3</v>
      </c>
      <c r="K80" s="2">
        <f>POWER(K$4-B80,2)</f>
        <v>1</v>
      </c>
      <c r="L80" s="2">
        <f>POWER(L$4-C80,2)</f>
        <v>9</v>
      </c>
      <c r="M80" s="2">
        <f>POWER(M$4-D80,2)</f>
        <v>1</v>
      </c>
      <c r="N80" s="7">
        <f t="shared" si="7"/>
        <v>3.3181320046074116</v>
      </c>
      <c r="O80" s="2">
        <f>POWER(O$4-A80,2)</f>
        <v>1.0000000000000106E-2</v>
      </c>
      <c r="P80" s="2">
        <f>POWER(P$4-B80,2)</f>
        <v>0</v>
      </c>
      <c r="Q80" s="2">
        <f>POWER(Q$4-C80,2)</f>
        <v>8.99999999999999E-2</v>
      </c>
      <c r="R80" s="2">
        <f>POWER(R$4-D80,2)</f>
        <v>9.0000000000000024E-2</v>
      </c>
      <c r="S80" s="7">
        <f t="shared" si="8"/>
        <v>0.43588989435406739</v>
      </c>
      <c r="T80" s="2">
        <f>POWER(T$4-A80,2)</f>
        <v>0.15999999999999959</v>
      </c>
      <c r="U80" s="2">
        <f>POWER(U$4-B80,2)</f>
        <v>0</v>
      </c>
      <c r="V80" s="2">
        <f>POWER(V$4-C80,2)</f>
        <v>0.49000000000000027</v>
      </c>
      <c r="W80" s="2">
        <f>POWER(W$4-D80,2)</f>
        <v>0.3600000000000001</v>
      </c>
      <c r="X80" s="7">
        <f t="shared" si="9"/>
        <v>1.004987562112089</v>
      </c>
      <c r="Y80" s="9">
        <f t="shared" si="10"/>
        <v>0.43588989435406739</v>
      </c>
      <c r="Z80" t="str">
        <f>IF(Y80=N80,"C1",IF(Y80=S80,"C2",IF(Y80=X80,"C3")))</f>
        <v>C2</v>
      </c>
    </row>
    <row r="81" spans="1:26" x14ac:dyDescent="0.2">
      <c r="A81">
        <v>5.7</v>
      </c>
      <c r="B81">
        <v>2.9</v>
      </c>
      <c r="C81">
        <v>4.2</v>
      </c>
      <c r="D81">
        <v>1.3</v>
      </c>
      <c r="E81" s="3" t="s">
        <v>6</v>
      </c>
      <c r="J81" s="2">
        <f>POWER(J$4-A81,2)</f>
        <v>9.9999999999999291E-3</v>
      </c>
      <c r="K81" s="2">
        <f>POWER(K$4-B81,2)</f>
        <v>1.2100000000000002</v>
      </c>
      <c r="L81" s="2">
        <f>POWER(L$4-C81,2)</f>
        <v>9</v>
      </c>
      <c r="M81" s="2">
        <f>POWER(M$4-D81,2)</f>
        <v>1.2100000000000002</v>
      </c>
      <c r="N81" s="7">
        <f t="shared" si="7"/>
        <v>3.3808283008753937</v>
      </c>
      <c r="O81" s="2">
        <f>POWER(O$4-A81,2)</f>
        <v>1.0000000000000106E-2</v>
      </c>
      <c r="P81" s="2">
        <f>POWER(P$4-B81,2)</f>
        <v>1.0000000000000018E-2</v>
      </c>
      <c r="Q81" s="2">
        <f>POWER(Q$4-C81,2)</f>
        <v>8.99999999999999E-2</v>
      </c>
      <c r="R81" s="2">
        <f>POWER(R$4-D81,2)</f>
        <v>3.999999999999998E-2</v>
      </c>
      <c r="S81" s="7">
        <f t="shared" si="8"/>
        <v>0.3872983346207417</v>
      </c>
      <c r="T81" s="2">
        <f>POWER(T$4-A81,2)</f>
        <v>0.15999999999999959</v>
      </c>
      <c r="U81" s="2">
        <f>POWER(U$4-B81,2)</f>
        <v>1.0000000000000018E-2</v>
      </c>
      <c r="V81" s="2">
        <f>POWER(V$4-C81,2)</f>
        <v>0.49000000000000027</v>
      </c>
      <c r="W81" s="2">
        <f>POWER(W$4-D81,2)</f>
        <v>0.25</v>
      </c>
      <c r="X81" s="7">
        <f t="shared" si="9"/>
        <v>0.95393920141694566</v>
      </c>
      <c r="Y81" s="9">
        <f t="shared" si="10"/>
        <v>0.3872983346207417</v>
      </c>
      <c r="Z81" t="str">
        <f>IF(Y81=N81,"C1",IF(Y81=S81,"C2",IF(Y81=X81,"C3")))</f>
        <v>C2</v>
      </c>
    </row>
    <row r="82" spans="1:26" x14ac:dyDescent="0.2">
      <c r="A82">
        <v>6.2</v>
      </c>
      <c r="B82">
        <v>2.9</v>
      </c>
      <c r="C82">
        <v>4.3</v>
      </c>
      <c r="D82">
        <v>1.3</v>
      </c>
      <c r="E82" s="3" t="s">
        <v>6</v>
      </c>
      <c r="J82" s="2">
        <f>POWER(J$4-A82,2)</f>
        <v>0.16000000000000028</v>
      </c>
      <c r="K82" s="2">
        <f>POWER(K$4-B82,2)</f>
        <v>1.2100000000000002</v>
      </c>
      <c r="L82" s="2">
        <f>POWER(L$4-C82,2)</f>
        <v>9.6099999999999977</v>
      </c>
      <c r="M82" s="2">
        <f>POWER(M$4-D82,2)</f>
        <v>1.2100000000000002</v>
      </c>
      <c r="N82" s="7">
        <f t="shared" si="7"/>
        <v>3.491418050019218</v>
      </c>
      <c r="O82" s="2">
        <f>POWER(O$4-A82,2)</f>
        <v>0.36000000000000065</v>
      </c>
      <c r="P82" s="2">
        <f>POWER(P$4-B82,2)</f>
        <v>1.0000000000000018E-2</v>
      </c>
      <c r="Q82" s="2">
        <f>POWER(Q$4-C82,2)</f>
        <v>4.000000000000007E-2</v>
      </c>
      <c r="R82" s="2">
        <f>POWER(R$4-D82,2)</f>
        <v>3.999999999999998E-2</v>
      </c>
      <c r="S82" s="7">
        <f t="shared" si="8"/>
        <v>0.67082039324993747</v>
      </c>
      <c r="T82" s="2">
        <f>POWER(T$4-A82,2)</f>
        <v>1.0000000000000106E-2</v>
      </c>
      <c r="U82" s="2">
        <f>POWER(U$4-B82,2)</f>
        <v>1.0000000000000018E-2</v>
      </c>
      <c r="V82" s="2">
        <f>POWER(V$4-C82,2)</f>
        <v>0.36000000000000065</v>
      </c>
      <c r="W82" s="2">
        <f>POWER(W$4-D82,2)</f>
        <v>0.25</v>
      </c>
      <c r="X82" s="7">
        <f t="shared" si="9"/>
        <v>0.79372539331937764</v>
      </c>
      <c r="Y82" s="9">
        <f t="shared" si="10"/>
        <v>0.67082039324993747</v>
      </c>
      <c r="Z82" t="str">
        <f>IF(Y82=N82,"C1",IF(Y82=S82,"C2",IF(Y82=X82,"C3")))</f>
        <v>C2</v>
      </c>
    </row>
    <row r="83" spans="1:26" x14ac:dyDescent="0.2">
      <c r="A83">
        <v>5.0999999999999996</v>
      </c>
      <c r="B83">
        <v>2.5</v>
      </c>
      <c r="C83">
        <v>3</v>
      </c>
      <c r="D83">
        <v>1.1000000000000001</v>
      </c>
      <c r="E83" s="3" t="s">
        <v>6</v>
      </c>
      <c r="J83" s="2">
        <f>POWER(J$4-A83,2)</f>
        <v>0.49000000000000027</v>
      </c>
      <c r="K83" s="2">
        <f>POWER(K$4-B83,2)</f>
        <v>2.25</v>
      </c>
      <c r="L83" s="2">
        <f>POWER(L$4-C83,2)</f>
        <v>3.24</v>
      </c>
      <c r="M83" s="2">
        <f>POWER(M$4-D83,2)</f>
        <v>0.81000000000000028</v>
      </c>
      <c r="N83" s="7">
        <f t="shared" si="7"/>
        <v>2.6057628441590768</v>
      </c>
      <c r="O83" s="2">
        <f>POWER(O$4-A83,2)</f>
        <v>0.25</v>
      </c>
      <c r="P83" s="2">
        <f>POWER(P$4-B83,2)</f>
        <v>0.25</v>
      </c>
      <c r="Q83" s="2">
        <f>POWER(Q$4-C83,2)</f>
        <v>2.25</v>
      </c>
      <c r="R83" s="2">
        <f>POWER(R$4-D83,2)</f>
        <v>0.15999999999999992</v>
      </c>
      <c r="S83" s="7">
        <f t="shared" si="8"/>
        <v>1.7058722109231981</v>
      </c>
      <c r="T83" s="2">
        <f>POWER(T$4-A83,2)</f>
        <v>1</v>
      </c>
      <c r="U83" s="2">
        <f>POWER(U$4-B83,2)</f>
        <v>0.25</v>
      </c>
      <c r="V83" s="2">
        <f>POWER(V$4-C83,2)</f>
        <v>3.6100000000000012</v>
      </c>
      <c r="W83" s="2">
        <f>POWER(W$4-D83,2)</f>
        <v>0.48999999999999994</v>
      </c>
      <c r="X83" s="7">
        <f t="shared" si="9"/>
        <v>2.3130067012440758</v>
      </c>
      <c r="Y83" s="9">
        <f t="shared" si="10"/>
        <v>1.7058722109231981</v>
      </c>
      <c r="Z83" t="str">
        <f>IF(Y83=N83,"C1",IF(Y83=S83,"C2",IF(Y83=X83,"C3")))</f>
        <v>C2</v>
      </c>
    </row>
    <row r="84" spans="1:26" x14ac:dyDescent="0.2">
      <c r="A84">
        <v>5.7</v>
      </c>
      <c r="B84">
        <v>2.8</v>
      </c>
      <c r="C84">
        <v>4.0999999999999996</v>
      </c>
      <c r="D84">
        <v>1.3</v>
      </c>
      <c r="E84" s="3" t="s">
        <v>6</v>
      </c>
      <c r="J84" s="2">
        <f>POWER(J$4-A84,2)</f>
        <v>9.9999999999999291E-3</v>
      </c>
      <c r="K84" s="2">
        <f>POWER(K$4-B84,2)</f>
        <v>1.4400000000000004</v>
      </c>
      <c r="L84" s="2">
        <f>POWER(L$4-C84,2)</f>
        <v>8.4099999999999966</v>
      </c>
      <c r="M84" s="2">
        <f>POWER(M$4-D84,2)</f>
        <v>1.2100000000000002</v>
      </c>
      <c r="N84" s="7">
        <f t="shared" si="7"/>
        <v>3.3271609519228251</v>
      </c>
      <c r="O84" s="2">
        <f>POWER(O$4-A84,2)</f>
        <v>1.0000000000000106E-2</v>
      </c>
      <c r="P84" s="2">
        <f>POWER(P$4-B84,2)</f>
        <v>4.000000000000007E-2</v>
      </c>
      <c r="Q84" s="2">
        <f>POWER(Q$4-C84,2)</f>
        <v>0.16000000000000028</v>
      </c>
      <c r="R84" s="2">
        <f>POWER(R$4-D84,2)</f>
        <v>3.999999999999998E-2</v>
      </c>
      <c r="S84" s="7">
        <f t="shared" si="8"/>
        <v>0.50000000000000044</v>
      </c>
      <c r="T84" s="2">
        <f>POWER(T$4-A84,2)</f>
        <v>0.15999999999999959</v>
      </c>
      <c r="U84" s="2">
        <f>POWER(U$4-B84,2)</f>
        <v>4.000000000000007E-2</v>
      </c>
      <c r="V84" s="2">
        <f>POWER(V$4-C84,2)</f>
        <v>0.64000000000000112</v>
      </c>
      <c r="W84" s="2">
        <f>POWER(W$4-D84,2)</f>
        <v>0.25</v>
      </c>
      <c r="X84" s="7">
        <f t="shared" si="9"/>
        <v>1.0440306508910553</v>
      </c>
      <c r="Y84" s="9">
        <f t="shared" si="10"/>
        <v>0.50000000000000044</v>
      </c>
      <c r="Z84" t="str">
        <f>IF(Y84=N84,"C1",IF(Y84=S84,"C2",IF(Y84=X84,"C3")))</f>
        <v>C2</v>
      </c>
    </row>
    <row r="85" spans="1:26" x14ac:dyDescent="0.2">
      <c r="A85">
        <v>6.3</v>
      </c>
      <c r="B85">
        <v>3.3</v>
      </c>
      <c r="C85">
        <v>6</v>
      </c>
      <c r="D85">
        <v>2.5</v>
      </c>
      <c r="E85" s="3" t="s">
        <v>7</v>
      </c>
      <c r="J85" s="2">
        <f>POWER(J$4-A85,2)</f>
        <v>0.25</v>
      </c>
      <c r="K85" s="2">
        <f>POWER(K$4-B85,2)</f>
        <v>0.49000000000000027</v>
      </c>
      <c r="L85" s="2">
        <f>POWER(L$4-C85,2)</f>
        <v>23.04</v>
      </c>
      <c r="M85" s="2">
        <f>POWER(M$4-D85,2)</f>
        <v>5.2899999999999991</v>
      </c>
      <c r="N85" s="7">
        <f t="shared" si="7"/>
        <v>5.3916602266834284</v>
      </c>
      <c r="O85" s="2">
        <f>POWER(O$4-A85,2)</f>
        <v>0.49000000000000027</v>
      </c>
      <c r="P85" s="2">
        <f>POWER(P$4-B85,2)</f>
        <v>8.99999999999999E-2</v>
      </c>
      <c r="Q85" s="2">
        <f>POWER(Q$4-C85,2)</f>
        <v>2.25</v>
      </c>
      <c r="R85" s="2">
        <f>POWER(R$4-D85,2)</f>
        <v>1</v>
      </c>
      <c r="S85" s="7">
        <f t="shared" si="8"/>
        <v>1.9570385790780926</v>
      </c>
      <c r="T85" s="2">
        <f>POWER(T$4-A85,2)</f>
        <v>4.000000000000007E-2</v>
      </c>
      <c r="U85" s="2">
        <f>POWER(U$4-B85,2)</f>
        <v>8.99999999999999E-2</v>
      </c>
      <c r="V85" s="2">
        <f>POWER(V$4-C85,2)</f>
        <v>1.2099999999999993</v>
      </c>
      <c r="W85" s="2">
        <f>POWER(W$4-D85,2)</f>
        <v>0.48999999999999994</v>
      </c>
      <c r="X85" s="7">
        <f t="shared" si="9"/>
        <v>1.352774925846868</v>
      </c>
      <c r="Y85" s="9">
        <f t="shared" si="10"/>
        <v>1.352774925846868</v>
      </c>
      <c r="Z85" t="str">
        <f>IF(Y85=N85,"C1",IF(Y85=S85,"C2",IF(Y85=X85,"C3")))</f>
        <v>C3</v>
      </c>
    </row>
    <row r="86" spans="1:26" x14ac:dyDescent="0.2">
      <c r="A86">
        <v>5.8</v>
      </c>
      <c r="B86">
        <v>2.7</v>
      </c>
      <c r="C86">
        <v>5.0999999999999996</v>
      </c>
      <c r="D86">
        <v>1.9</v>
      </c>
      <c r="E86" s="3" t="s">
        <v>7</v>
      </c>
      <c r="J86" s="2">
        <f>POWER(J$4-A86,2)</f>
        <v>0</v>
      </c>
      <c r="K86" s="2">
        <f>POWER(K$4-B86,2)</f>
        <v>1.6899999999999995</v>
      </c>
      <c r="L86" s="2">
        <f>POWER(L$4-C86,2)</f>
        <v>15.209999999999996</v>
      </c>
      <c r="M86" s="2">
        <f>POWER(M$4-D86,2)</f>
        <v>2.8899999999999997</v>
      </c>
      <c r="N86" s="7">
        <f t="shared" si="7"/>
        <v>4.4485952839070446</v>
      </c>
      <c r="O86" s="2">
        <f>POWER(O$4-A86,2)</f>
        <v>4.000000000000007E-2</v>
      </c>
      <c r="P86" s="2">
        <f>POWER(P$4-B86,2)</f>
        <v>8.99999999999999E-2</v>
      </c>
      <c r="Q86" s="2">
        <f>POWER(Q$4-C86,2)</f>
        <v>0.3599999999999996</v>
      </c>
      <c r="R86" s="2">
        <f>POWER(R$4-D86,2)</f>
        <v>0.15999999999999992</v>
      </c>
      <c r="S86" s="7">
        <f t="shared" si="8"/>
        <v>0.80622577482985458</v>
      </c>
      <c r="T86" s="2">
        <f>POWER(T$4-A86,2)</f>
        <v>8.99999999999999E-2</v>
      </c>
      <c r="U86" s="2">
        <f>POWER(U$4-B86,2)</f>
        <v>8.99999999999999E-2</v>
      </c>
      <c r="V86" s="2">
        <f>POWER(V$4-C86,2)</f>
        <v>3.9999999999999716E-2</v>
      </c>
      <c r="W86" s="2">
        <f>POWER(W$4-D86,2)</f>
        <v>9.9999999999999742E-3</v>
      </c>
      <c r="X86" s="7">
        <f t="shared" si="9"/>
        <v>0.47958315233127147</v>
      </c>
      <c r="Y86" s="9">
        <f t="shared" si="10"/>
        <v>0.47958315233127147</v>
      </c>
      <c r="Z86" t="str">
        <f>IF(Y86=N86,"C1",IF(Y86=S86,"C2",IF(Y86=X86,"C3")))</f>
        <v>C3</v>
      </c>
    </row>
    <row r="87" spans="1:26" x14ac:dyDescent="0.2">
      <c r="A87">
        <v>7.1</v>
      </c>
      <c r="B87">
        <v>3</v>
      </c>
      <c r="C87">
        <v>5.9</v>
      </c>
      <c r="D87">
        <v>2.1</v>
      </c>
      <c r="E87" s="3" t="s">
        <v>7</v>
      </c>
      <c r="J87" s="2">
        <f>POWER(J$4-A87,2)</f>
        <v>1.6899999999999995</v>
      </c>
      <c r="K87" s="2">
        <f>POWER(K$4-B87,2)</f>
        <v>1</v>
      </c>
      <c r="L87" s="2">
        <f>POWER(L$4-C87,2)</f>
        <v>22.090000000000003</v>
      </c>
      <c r="M87" s="2">
        <f>POWER(M$4-D87,2)</f>
        <v>3.6100000000000003</v>
      </c>
      <c r="N87" s="7">
        <f t="shared" si="7"/>
        <v>5.3282267219028885</v>
      </c>
      <c r="O87" s="2">
        <f>POWER(O$4-A87,2)</f>
        <v>2.25</v>
      </c>
      <c r="P87" s="2">
        <f>POWER(P$4-B87,2)</f>
        <v>0</v>
      </c>
      <c r="Q87" s="2">
        <f>POWER(Q$4-C87,2)</f>
        <v>1.9600000000000011</v>
      </c>
      <c r="R87" s="2">
        <f>POWER(R$4-D87,2)</f>
        <v>0.3600000000000001</v>
      </c>
      <c r="S87" s="7">
        <f t="shared" si="8"/>
        <v>2.1377558326431951</v>
      </c>
      <c r="T87" s="2">
        <f>POWER(T$4-A87,2)</f>
        <v>1</v>
      </c>
      <c r="U87" s="2">
        <f>POWER(U$4-B87,2)</f>
        <v>0</v>
      </c>
      <c r="V87" s="2">
        <f>POWER(V$4-C87,2)</f>
        <v>1</v>
      </c>
      <c r="W87" s="2">
        <f>POWER(W$4-D87,2)</f>
        <v>9.0000000000000024E-2</v>
      </c>
      <c r="X87" s="7">
        <f t="shared" si="9"/>
        <v>1.4456832294800961</v>
      </c>
      <c r="Y87" s="9">
        <f t="shared" si="10"/>
        <v>1.4456832294800961</v>
      </c>
      <c r="Z87" t="str">
        <f>IF(Y87=N87,"C1",IF(Y87=S87,"C2",IF(Y87=X87,"C3")))</f>
        <v>C3</v>
      </c>
    </row>
    <row r="88" spans="1:26" x14ac:dyDescent="0.2">
      <c r="A88">
        <v>6.3</v>
      </c>
      <c r="B88">
        <v>2.9</v>
      </c>
      <c r="C88">
        <v>5.6</v>
      </c>
      <c r="D88">
        <v>1.8</v>
      </c>
      <c r="E88" s="3" t="s">
        <v>7</v>
      </c>
      <c r="J88" s="2">
        <f>POWER(J$4-A88,2)</f>
        <v>0.25</v>
      </c>
      <c r="K88" s="2">
        <f>POWER(K$4-B88,2)</f>
        <v>1.2100000000000002</v>
      </c>
      <c r="L88" s="2">
        <f>POWER(L$4-C88,2)</f>
        <v>19.359999999999996</v>
      </c>
      <c r="M88" s="2">
        <f>POWER(M$4-D88,2)</f>
        <v>2.5600000000000005</v>
      </c>
      <c r="N88" s="7">
        <f t="shared" si="7"/>
        <v>4.8352869614946323</v>
      </c>
      <c r="O88" s="2">
        <f>POWER(O$4-A88,2)</f>
        <v>0.49000000000000027</v>
      </c>
      <c r="P88" s="2">
        <f>POWER(P$4-B88,2)</f>
        <v>1.0000000000000018E-2</v>
      </c>
      <c r="Q88" s="2">
        <f>POWER(Q$4-C88,2)</f>
        <v>1.2099999999999993</v>
      </c>
      <c r="R88" s="2">
        <f>POWER(R$4-D88,2)</f>
        <v>9.0000000000000024E-2</v>
      </c>
      <c r="S88" s="7">
        <f t="shared" si="8"/>
        <v>1.3416407864998736</v>
      </c>
      <c r="T88" s="2">
        <f>POWER(T$4-A88,2)</f>
        <v>4.000000000000007E-2</v>
      </c>
      <c r="U88" s="2">
        <f>POWER(U$4-B88,2)</f>
        <v>1.0000000000000018E-2</v>
      </c>
      <c r="V88" s="2">
        <f>POWER(V$4-C88,2)</f>
        <v>0.48999999999999899</v>
      </c>
      <c r="W88" s="2">
        <f>POWER(W$4-D88,2)</f>
        <v>0</v>
      </c>
      <c r="X88" s="7">
        <f t="shared" si="9"/>
        <v>0.73484692283495279</v>
      </c>
      <c r="Y88" s="9">
        <f t="shared" si="10"/>
        <v>0.73484692283495279</v>
      </c>
      <c r="Z88" t="str">
        <f>IF(Y88=N88,"C1",IF(Y88=S88,"C2",IF(Y88=X88,"C3")))</f>
        <v>C3</v>
      </c>
    </row>
    <row r="89" spans="1:26" x14ac:dyDescent="0.2">
      <c r="A89">
        <v>6.5</v>
      </c>
      <c r="B89">
        <v>3</v>
      </c>
      <c r="C89">
        <v>5.8</v>
      </c>
      <c r="D89">
        <v>2.2000000000000002</v>
      </c>
      <c r="E89" s="3" t="s">
        <v>7</v>
      </c>
      <c r="J89" s="2">
        <f>POWER(J$4-A89,2)</f>
        <v>0.49000000000000027</v>
      </c>
      <c r="K89" s="2">
        <f>POWER(K$4-B89,2)</f>
        <v>1</v>
      </c>
      <c r="L89" s="2">
        <f>POWER(L$4-C89,2)</f>
        <v>21.159999999999997</v>
      </c>
      <c r="M89" s="2">
        <f>POWER(M$4-D89,2)</f>
        <v>4</v>
      </c>
      <c r="N89" s="7">
        <f t="shared" si="7"/>
        <v>5.1623637996561227</v>
      </c>
      <c r="O89" s="2">
        <f>POWER(O$4-A89,2)</f>
        <v>0.81000000000000061</v>
      </c>
      <c r="P89" s="2">
        <f>POWER(P$4-B89,2)</f>
        <v>0</v>
      </c>
      <c r="Q89" s="2">
        <f>POWER(Q$4-C89,2)</f>
        <v>1.6899999999999995</v>
      </c>
      <c r="R89" s="2">
        <f>POWER(R$4-D89,2)</f>
        <v>0.49000000000000027</v>
      </c>
      <c r="S89" s="7">
        <f t="shared" si="8"/>
        <v>1.7291616465790582</v>
      </c>
      <c r="T89" s="2">
        <f>POWER(T$4-A89,2)</f>
        <v>0.16000000000000028</v>
      </c>
      <c r="U89" s="2">
        <f>POWER(U$4-B89,2)</f>
        <v>0</v>
      </c>
      <c r="V89" s="2">
        <f>POWER(V$4-C89,2)</f>
        <v>0.80999999999999905</v>
      </c>
      <c r="W89" s="2">
        <f>POWER(W$4-D89,2)</f>
        <v>0.16000000000000011</v>
      </c>
      <c r="X89" s="7">
        <f t="shared" si="9"/>
        <v>1.0630145812734646</v>
      </c>
      <c r="Y89" s="9">
        <f t="shared" si="10"/>
        <v>1.0630145812734646</v>
      </c>
      <c r="Z89" t="str">
        <f>IF(Y89=N89,"C1",IF(Y89=S89,"C2",IF(Y89=X89,"C3")))</f>
        <v>C3</v>
      </c>
    </row>
    <row r="90" spans="1:26" x14ac:dyDescent="0.2">
      <c r="A90">
        <v>7.6</v>
      </c>
      <c r="B90">
        <v>3</v>
      </c>
      <c r="C90">
        <v>6.6</v>
      </c>
      <c r="D90">
        <v>2.1</v>
      </c>
      <c r="E90" s="3" t="s">
        <v>7</v>
      </c>
      <c r="J90" s="2">
        <f>POWER(J$4-A90,2)</f>
        <v>3.2399999999999993</v>
      </c>
      <c r="K90" s="2">
        <f>POWER(K$4-B90,2)</f>
        <v>1</v>
      </c>
      <c r="L90" s="2">
        <f>POWER(L$4-C90,2)</f>
        <v>29.159999999999993</v>
      </c>
      <c r="M90" s="2">
        <f>POWER(M$4-D90,2)</f>
        <v>3.6100000000000003</v>
      </c>
      <c r="N90" s="7">
        <f t="shared" si="7"/>
        <v>6.0835844697020516</v>
      </c>
      <c r="O90" s="2">
        <f>POWER(O$4-A90,2)</f>
        <v>4</v>
      </c>
      <c r="P90" s="2">
        <f>POWER(P$4-B90,2)</f>
        <v>0</v>
      </c>
      <c r="Q90" s="2">
        <f>POWER(Q$4-C90,2)</f>
        <v>4.4099999999999984</v>
      </c>
      <c r="R90" s="2">
        <f>POWER(R$4-D90,2)</f>
        <v>0.3600000000000001</v>
      </c>
      <c r="S90" s="7">
        <f t="shared" si="8"/>
        <v>2.961418578992169</v>
      </c>
      <c r="T90" s="2">
        <f>POWER(T$4-A90,2)</f>
        <v>2.25</v>
      </c>
      <c r="U90" s="2">
        <f>POWER(U$4-B90,2)</f>
        <v>0</v>
      </c>
      <c r="V90" s="2">
        <f>POWER(V$4-C90,2)</f>
        <v>2.8899999999999975</v>
      </c>
      <c r="W90" s="2">
        <f>POWER(W$4-D90,2)</f>
        <v>9.0000000000000024E-2</v>
      </c>
      <c r="X90" s="7">
        <f t="shared" si="9"/>
        <v>2.2869193252058535</v>
      </c>
      <c r="Y90" s="9">
        <f t="shared" si="10"/>
        <v>2.2869193252058535</v>
      </c>
      <c r="Z90" t="str">
        <f>IF(Y90=N90,"C1",IF(Y90=S90,"C2",IF(Y90=X90,"C3")))</f>
        <v>C3</v>
      </c>
    </row>
    <row r="91" spans="1:26" x14ac:dyDescent="0.2">
      <c r="A91">
        <v>5</v>
      </c>
      <c r="B91">
        <v>3.4</v>
      </c>
      <c r="C91">
        <v>1.5</v>
      </c>
      <c r="D91">
        <v>0.2</v>
      </c>
      <c r="E91" s="3" t="s">
        <v>5</v>
      </c>
      <c r="J91" s="2">
        <f>POWER(J$4-A91,2)</f>
        <v>0.63999999999999968</v>
      </c>
      <c r="K91" s="2">
        <f>POWER(K$4-B91,2)</f>
        <v>0.3600000000000001</v>
      </c>
      <c r="L91" s="2">
        <f>POWER(L$4-C91,2)</f>
        <v>9.0000000000000024E-2</v>
      </c>
      <c r="M91" s="2">
        <f>POWER(M$4-D91,2)</f>
        <v>0</v>
      </c>
      <c r="N91" s="7">
        <f t="shared" si="7"/>
        <v>1.0440306508910548</v>
      </c>
      <c r="O91" s="2">
        <f>POWER(O$4-A91,2)</f>
        <v>0.3599999999999996</v>
      </c>
      <c r="P91" s="2">
        <f>POWER(P$4-B91,2)</f>
        <v>0.15999999999999992</v>
      </c>
      <c r="Q91" s="2">
        <f>POWER(Q$4-C91,2)</f>
        <v>9</v>
      </c>
      <c r="R91" s="2">
        <f>POWER(R$4-D91,2)</f>
        <v>1.6900000000000002</v>
      </c>
      <c r="S91" s="7">
        <f t="shared" si="8"/>
        <v>3.348133808556641</v>
      </c>
      <c r="T91" s="2">
        <f>POWER(T$4-A91,2)</f>
        <v>1.2099999999999993</v>
      </c>
      <c r="U91" s="2">
        <f>POWER(U$4-B91,2)</f>
        <v>0.15999999999999992</v>
      </c>
      <c r="V91" s="2">
        <f>POWER(V$4-C91,2)</f>
        <v>11.560000000000002</v>
      </c>
      <c r="W91" s="2">
        <f>POWER(W$4-D91,2)</f>
        <v>2.5600000000000005</v>
      </c>
      <c r="X91" s="7">
        <f t="shared" si="9"/>
        <v>3.9357337308308855</v>
      </c>
      <c r="Y91" s="9">
        <f t="shared" si="10"/>
        <v>1.0440306508910548</v>
      </c>
      <c r="Z91" t="str">
        <f>IF(Y91=N91,"C1",IF(Y91=S91,"C2",IF(Y91=X91,"C3")))</f>
        <v>C1</v>
      </c>
    </row>
    <row r="92" spans="1:26" x14ac:dyDescent="0.2">
      <c r="A92">
        <v>4.4000000000000004</v>
      </c>
      <c r="B92">
        <v>2.9</v>
      </c>
      <c r="C92">
        <v>1.4</v>
      </c>
      <c r="D92">
        <v>0.2</v>
      </c>
      <c r="E92" s="3" t="s">
        <v>5</v>
      </c>
      <c r="J92" s="2">
        <f>POWER(J$4-A92,2)</f>
        <v>1.9599999999999984</v>
      </c>
      <c r="K92" s="2">
        <f>POWER(K$4-B92,2)</f>
        <v>1.2100000000000002</v>
      </c>
      <c r="L92" s="2">
        <f>POWER(L$4-C92,2)</f>
        <v>3.999999999999998E-2</v>
      </c>
      <c r="M92" s="2">
        <f>POWER(M$4-D92,2)</f>
        <v>0</v>
      </c>
      <c r="N92" s="7">
        <f t="shared" si="7"/>
        <v>1.7916472867168913</v>
      </c>
      <c r="O92" s="2">
        <f>POWER(O$4-A92,2)</f>
        <v>1.4399999999999984</v>
      </c>
      <c r="P92" s="2">
        <f>POWER(P$4-B92,2)</f>
        <v>1.0000000000000018E-2</v>
      </c>
      <c r="Q92" s="2">
        <f>POWER(Q$4-C92,2)</f>
        <v>9.6100000000000012</v>
      </c>
      <c r="R92" s="2">
        <f>POWER(R$4-D92,2)</f>
        <v>1.6900000000000002</v>
      </c>
      <c r="S92" s="7">
        <f t="shared" si="8"/>
        <v>3.5707142142714248</v>
      </c>
      <c r="T92" s="2">
        <f>POWER(T$4-A92,2)</f>
        <v>2.8899999999999975</v>
      </c>
      <c r="U92" s="2">
        <f>POWER(U$4-B92,2)</f>
        <v>1.0000000000000018E-2</v>
      </c>
      <c r="V92" s="2">
        <f>POWER(V$4-C92,2)</f>
        <v>12.250000000000004</v>
      </c>
      <c r="W92" s="2">
        <f>POWER(W$4-D92,2)</f>
        <v>2.5600000000000005</v>
      </c>
      <c r="X92" s="7">
        <f t="shared" si="9"/>
        <v>4.2083250825001626</v>
      </c>
      <c r="Y92" s="9">
        <f t="shared" si="10"/>
        <v>1.7916472867168913</v>
      </c>
      <c r="Z92" t="str">
        <f>IF(Y92=N92,"C1",IF(Y92=S92,"C2",IF(Y92=X92,"C3")))</f>
        <v>C1</v>
      </c>
    </row>
    <row r="93" spans="1:26" x14ac:dyDescent="0.2">
      <c r="A93">
        <v>4.9000000000000004</v>
      </c>
      <c r="B93">
        <v>3.1</v>
      </c>
      <c r="C93">
        <v>1.5</v>
      </c>
      <c r="D93">
        <v>0.1</v>
      </c>
      <c r="E93" s="3" t="s">
        <v>5</v>
      </c>
      <c r="J93" s="2">
        <f>POWER(J$4-A93,2)</f>
        <v>0.80999999999999905</v>
      </c>
      <c r="K93" s="2">
        <f>POWER(K$4-B93,2)</f>
        <v>0.80999999999999983</v>
      </c>
      <c r="L93" s="2">
        <f>POWER(L$4-C93,2)</f>
        <v>9.0000000000000024E-2</v>
      </c>
      <c r="M93" s="2">
        <f>POWER(M$4-D93,2)</f>
        <v>1.0000000000000002E-2</v>
      </c>
      <c r="N93" s="7">
        <f t="shared" si="7"/>
        <v>1.3114877048603997</v>
      </c>
      <c r="O93" s="2">
        <f>POWER(O$4-A93,2)</f>
        <v>0.48999999999999899</v>
      </c>
      <c r="P93" s="2">
        <f>POWER(P$4-B93,2)</f>
        <v>1.0000000000000018E-2</v>
      </c>
      <c r="Q93" s="2">
        <f>POWER(Q$4-C93,2)</f>
        <v>9</v>
      </c>
      <c r="R93" s="2">
        <f>POWER(R$4-D93,2)</f>
        <v>1.9599999999999997</v>
      </c>
      <c r="S93" s="7">
        <f t="shared" si="8"/>
        <v>3.3852621759621511</v>
      </c>
      <c r="T93" s="2">
        <f>POWER(T$4-A93,2)</f>
        <v>1.4399999999999984</v>
      </c>
      <c r="U93" s="2">
        <f>POWER(U$4-B93,2)</f>
        <v>1.0000000000000018E-2</v>
      </c>
      <c r="V93" s="2">
        <f>POWER(V$4-C93,2)</f>
        <v>11.560000000000002</v>
      </c>
      <c r="W93" s="2">
        <f>POWER(W$4-D93,2)</f>
        <v>2.8899999999999997</v>
      </c>
      <c r="X93" s="7">
        <f t="shared" si="9"/>
        <v>3.9874804074753776</v>
      </c>
      <c r="Y93" s="9">
        <f t="shared" si="10"/>
        <v>1.3114877048603997</v>
      </c>
      <c r="Z93" t="str">
        <f>IF(Y93=N93,"C1",IF(Y93=S93,"C2",IF(Y93=X93,"C3")))</f>
        <v>C1</v>
      </c>
    </row>
    <row r="94" spans="1:26" x14ac:dyDescent="0.2">
      <c r="A94">
        <v>5.4</v>
      </c>
      <c r="B94">
        <v>3.7</v>
      </c>
      <c r="C94">
        <v>1.5</v>
      </c>
      <c r="D94">
        <v>0.2</v>
      </c>
      <c r="E94" s="3" t="s">
        <v>5</v>
      </c>
      <c r="J94" s="2">
        <f>POWER(J$4-A94,2)</f>
        <v>0.15999999999999959</v>
      </c>
      <c r="K94" s="2">
        <f>POWER(K$4-B94,2)</f>
        <v>8.99999999999999E-2</v>
      </c>
      <c r="L94" s="2">
        <f>POWER(L$4-C94,2)</f>
        <v>9.0000000000000024E-2</v>
      </c>
      <c r="M94" s="2">
        <f>POWER(M$4-D94,2)</f>
        <v>0</v>
      </c>
      <c r="N94" s="7">
        <f t="shared" si="7"/>
        <v>0.58309518948452965</v>
      </c>
      <c r="O94" s="2">
        <f>POWER(O$4-A94,2)</f>
        <v>3.9999999999999716E-2</v>
      </c>
      <c r="P94" s="2">
        <f>POWER(P$4-B94,2)</f>
        <v>0.49000000000000027</v>
      </c>
      <c r="Q94" s="2">
        <f>POWER(Q$4-C94,2)</f>
        <v>9</v>
      </c>
      <c r="R94" s="2">
        <f>POWER(R$4-D94,2)</f>
        <v>1.6900000000000002</v>
      </c>
      <c r="S94" s="7">
        <f t="shared" si="8"/>
        <v>3.3496268448888449</v>
      </c>
      <c r="T94" s="2">
        <f>POWER(T$4-A94,2)</f>
        <v>0.48999999999999899</v>
      </c>
      <c r="U94" s="2">
        <f>POWER(U$4-B94,2)</f>
        <v>0.49000000000000027</v>
      </c>
      <c r="V94" s="2">
        <f>POWER(V$4-C94,2)</f>
        <v>11.560000000000002</v>
      </c>
      <c r="W94" s="2">
        <f>POWER(W$4-D94,2)</f>
        <v>2.5600000000000005</v>
      </c>
      <c r="X94" s="7">
        <f t="shared" si="9"/>
        <v>3.8858718455450898</v>
      </c>
      <c r="Y94" s="9">
        <f t="shared" si="10"/>
        <v>0.58309518948452965</v>
      </c>
      <c r="Z94" t="str">
        <f>IF(Y94=N94,"C1",IF(Y94=S94,"C2",IF(Y94=X94,"C3")))</f>
        <v>C1</v>
      </c>
    </row>
    <row r="95" spans="1:26" x14ac:dyDescent="0.2">
      <c r="A95">
        <v>4.8</v>
      </c>
      <c r="B95">
        <v>3.4</v>
      </c>
      <c r="C95">
        <v>1.6</v>
      </c>
      <c r="D95">
        <v>0.2</v>
      </c>
      <c r="E95" s="3" t="s">
        <v>5</v>
      </c>
      <c r="J95" s="2">
        <f>POWER(J$4-A95,2)</f>
        <v>1</v>
      </c>
      <c r="K95" s="2">
        <f>POWER(K$4-B95,2)</f>
        <v>0.3600000000000001</v>
      </c>
      <c r="L95" s="2">
        <f>POWER(L$4-C95,2)</f>
        <v>0.16000000000000011</v>
      </c>
      <c r="M95" s="2">
        <f>POWER(M$4-D95,2)</f>
        <v>0</v>
      </c>
      <c r="N95" s="7">
        <f t="shared" si="7"/>
        <v>1.2328828005937953</v>
      </c>
      <c r="O95" s="2">
        <f>POWER(O$4-A95,2)</f>
        <v>0.63999999999999968</v>
      </c>
      <c r="P95" s="2">
        <f>POWER(P$4-B95,2)</f>
        <v>0.15999999999999992</v>
      </c>
      <c r="Q95" s="2">
        <f>POWER(Q$4-C95,2)</f>
        <v>8.41</v>
      </c>
      <c r="R95" s="2">
        <f>POWER(R$4-D95,2)</f>
        <v>1.6900000000000002</v>
      </c>
      <c r="S95" s="7">
        <f t="shared" si="8"/>
        <v>3.3015148038438356</v>
      </c>
      <c r="T95" s="2">
        <f>POWER(T$4-A95,2)</f>
        <v>1.6899999999999995</v>
      </c>
      <c r="U95" s="2">
        <f>POWER(U$4-B95,2)</f>
        <v>0.15999999999999992</v>
      </c>
      <c r="V95" s="2">
        <f>POWER(V$4-C95,2)</f>
        <v>10.890000000000002</v>
      </c>
      <c r="W95" s="2">
        <f>POWER(W$4-D95,2)</f>
        <v>2.5600000000000005</v>
      </c>
      <c r="X95" s="7">
        <f t="shared" si="9"/>
        <v>3.9115214431215897</v>
      </c>
      <c r="Y95" s="9">
        <f t="shared" si="10"/>
        <v>1.2328828005937953</v>
      </c>
      <c r="Z95" t="str">
        <f>IF(Y95=N95,"C1",IF(Y95=S95,"C2",IF(Y95=X95,"C3")))</f>
        <v>C1</v>
      </c>
    </row>
    <row r="96" spans="1:26" x14ac:dyDescent="0.2">
      <c r="A96">
        <v>4.8</v>
      </c>
      <c r="B96">
        <v>3</v>
      </c>
      <c r="C96">
        <v>1.4</v>
      </c>
      <c r="D96">
        <v>0.1</v>
      </c>
      <c r="E96" s="3" t="s">
        <v>5</v>
      </c>
      <c r="J96" s="2">
        <f>POWER(J$4-A96,2)</f>
        <v>1</v>
      </c>
      <c r="K96" s="2">
        <f>POWER(K$4-B96,2)</f>
        <v>1</v>
      </c>
      <c r="L96" s="2">
        <f>POWER(L$4-C96,2)</f>
        <v>3.999999999999998E-2</v>
      </c>
      <c r="M96" s="2">
        <f>POWER(M$4-D96,2)</f>
        <v>1.0000000000000002E-2</v>
      </c>
      <c r="N96" s="7">
        <f t="shared" si="7"/>
        <v>1.4317821063276353</v>
      </c>
      <c r="O96" s="2">
        <f>POWER(O$4-A96,2)</f>
        <v>0.63999999999999968</v>
      </c>
      <c r="P96" s="2">
        <f>POWER(P$4-B96,2)</f>
        <v>0</v>
      </c>
      <c r="Q96" s="2">
        <f>POWER(Q$4-C96,2)</f>
        <v>9.6100000000000012</v>
      </c>
      <c r="R96" s="2">
        <f>POWER(R$4-D96,2)</f>
        <v>1.9599999999999997</v>
      </c>
      <c r="S96" s="7">
        <f t="shared" si="8"/>
        <v>3.4942810419312296</v>
      </c>
      <c r="T96" s="2">
        <f>POWER(T$4-A96,2)</f>
        <v>1.6899999999999995</v>
      </c>
      <c r="U96" s="2">
        <f>POWER(U$4-B96,2)</f>
        <v>0</v>
      </c>
      <c r="V96" s="2">
        <f>POWER(V$4-C96,2)</f>
        <v>12.250000000000004</v>
      </c>
      <c r="W96" s="2">
        <f>POWER(W$4-D96,2)</f>
        <v>2.8899999999999997</v>
      </c>
      <c r="X96" s="7">
        <f t="shared" si="9"/>
        <v>4.1024382993532029</v>
      </c>
      <c r="Y96" s="9">
        <f t="shared" si="10"/>
        <v>1.4317821063276353</v>
      </c>
      <c r="Z96" t="str">
        <f>IF(Y96=N96,"C1",IF(Y96=S96,"C2",IF(Y96=X96,"C3")))</f>
        <v>C1</v>
      </c>
    </row>
    <row r="97" spans="1:26" x14ac:dyDescent="0.2">
      <c r="A97">
        <v>4.3</v>
      </c>
      <c r="B97">
        <v>3</v>
      </c>
      <c r="C97">
        <v>1.1000000000000001</v>
      </c>
      <c r="D97">
        <v>0.1</v>
      </c>
      <c r="E97" s="3" t="s">
        <v>5</v>
      </c>
      <c r="J97" s="2">
        <f>POWER(J$4-A97,2)</f>
        <v>2.25</v>
      </c>
      <c r="K97" s="2">
        <f>POWER(K$4-B97,2)</f>
        <v>1</v>
      </c>
      <c r="L97" s="2">
        <f>POWER(L$4-C97,2)</f>
        <v>9.9999999999999742E-3</v>
      </c>
      <c r="M97" s="2">
        <f>POWER(M$4-D97,2)</f>
        <v>1.0000000000000002E-2</v>
      </c>
      <c r="N97" s="7">
        <f t="shared" si="7"/>
        <v>1.8083141320025122</v>
      </c>
      <c r="O97" s="2">
        <f>POWER(O$4-A97,2)</f>
        <v>1.6899999999999995</v>
      </c>
      <c r="P97" s="2">
        <f>POWER(P$4-B97,2)</f>
        <v>0</v>
      </c>
      <c r="Q97" s="2">
        <f>POWER(Q$4-C97,2)</f>
        <v>11.559999999999999</v>
      </c>
      <c r="R97" s="2">
        <f>POWER(R$4-D97,2)</f>
        <v>1.9599999999999997</v>
      </c>
      <c r="S97" s="7">
        <f t="shared" si="8"/>
        <v>3.8999999999999995</v>
      </c>
      <c r="T97" s="2">
        <f>POWER(T$4-A97,2)</f>
        <v>3.2399999999999993</v>
      </c>
      <c r="U97" s="2">
        <f>POWER(U$4-B97,2)</f>
        <v>0</v>
      </c>
      <c r="V97" s="2">
        <f>POWER(V$4-C97,2)</f>
        <v>14.440000000000001</v>
      </c>
      <c r="W97" s="2">
        <f>POWER(W$4-D97,2)</f>
        <v>2.8899999999999997</v>
      </c>
      <c r="X97" s="7">
        <f t="shared" si="9"/>
        <v>4.5354161881794264</v>
      </c>
      <c r="Y97" s="9">
        <f t="shared" si="10"/>
        <v>1.8083141320025122</v>
      </c>
      <c r="Z97" t="str">
        <f>IF(Y97=N97,"C1",IF(Y97=S97,"C2",IF(Y97=X97,"C3")))</f>
        <v>C1</v>
      </c>
    </row>
    <row r="98" spans="1:26" x14ac:dyDescent="0.2">
      <c r="A98">
        <v>5.7</v>
      </c>
      <c r="B98">
        <v>2.5</v>
      </c>
      <c r="C98">
        <v>5</v>
      </c>
      <c r="D98">
        <v>2</v>
      </c>
      <c r="E98" s="3" t="s">
        <v>7</v>
      </c>
      <c r="J98" s="2">
        <f>POWER(J$4-A98,2)</f>
        <v>9.9999999999999291E-3</v>
      </c>
      <c r="K98" s="2">
        <f>POWER(K$4-B98,2)</f>
        <v>2.25</v>
      </c>
      <c r="L98" s="2">
        <f>POWER(L$4-C98,2)</f>
        <v>14.44</v>
      </c>
      <c r="M98" s="2">
        <f>POWER(M$4-D98,2)</f>
        <v>3.24</v>
      </c>
      <c r="N98" s="7">
        <f t="shared" si="7"/>
        <v>4.4654227123532211</v>
      </c>
      <c r="O98" s="2">
        <f>POWER(O$4-A98,2)</f>
        <v>1.0000000000000106E-2</v>
      </c>
      <c r="P98" s="2">
        <f>POWER(P$4-B98,2)</f>
        <v>0.25</v>
      </c>
      <c r="Q98" s="2">
        <f>POWER(Q$4-C98,2)</f>
        <v>0.25</v>
      </c>
      <c r="R98" s="2">
        <f>POWER(R$4-D98,2)</f>
        <v>0.25</v>
      </c>
      <c r="S98" s="7">
        <f t="shared" si="8"/>
        <v>0.87177978870813477</v>
      </c>
      <c r="T98" s="2">
        <f>POWER(T$4-A98,2)</f>
        <v>0.15999999999999959</v>
      </c>
      <c r="U98" s="2">
        <f>POWER(U$4-B98,2)</f>
        <v>0.25</v>
      </c>
      <c r="V98" s="2">
        <f>POWER(V$4-C98,2)</f>
        <v>9.9999999999999291E-3</v>
      </c>
      <c r="W98" s="2">
        <f>POWER(W$4-D98,2)</f>
        <v>3.999999999999998E-2</v>
      </c>
      <c r="X98" s="7">
        <f t="shared" si="9"/>
        <v>0.67823299831252648</v>
      </c>
      <c r="Y98" s="9">
        <f t="shared" si="10"/>
        <v>0.67823299831252648</v>
      </c>
      <c r="Z98" t="str">
        <f>IF(Y98=N98,"C1",IF(Y98=S98,"C2",IF(Y98=X98,"C3")))</f>
        <v>C3</v>
      </c>
    </row>
    <row r="99" spans="1:26" x14ac:dyDescent="0.2">
      <c r="A99">
        <v>5.8</v>
      </c>
      <c r="B99">
        <v>2.8</v>
      </c>
      <c r="C99">
        <v>5.0999999999999996</v>
      </c>
      <c r="D99">
        <v>2.4</v>
      </c>
      <c r="E99" s="3" t="s">
        <v>7</v>
      </c>
      <c r="J99" s="2">
        <f>POWER(J$4-A99,2)</f>
        <v>0</v>
      </c>
      <c r="K99" s="2">
        <f>POWER(K$4-B99,2)</f>
        <v>1.4400000000000004</v>
      </c>
      <c r="L99" s="2">
        <f>POWER(L$4-C99,2)</f>
        <v>15.209999999999996</v>
      </c>
      <c r="M99" s="2">
        <f>POWER(M$4-D99,2)</f>
        <v>4.839999999999999</v>
      </c>
      <c r="N99" s="7">
        <f t="shared" si="7"/>
        <v>4.6357307945997031</v>
      </c>
      <c r="O99" s="2">
        <f>POWER(O$4-A99,2)</f>
        <v>4.000000000000007E-2</v>
      </c>
      <c r="P99" s="2">
        <f>POWER(P$4-B99,2)</f>
        <v>4.000000000000007E-2</v>
      </c>
      <c r="Q99" s="2">
        <f>POWER(Q$4-C99,2)</f>
        <v>0.3599999999999996</v>
      </c>
      <c r="R99" s="2">
        <f>POWER(R$4-D99,2)</f>
        <v>0.80999999999999983</v>
      </c>
      <c r="S99" s="7">
        <f t="shared" si="8"/>
        <v>1.1180339887498947</v>
      </c>
      <c r="T99" s="2">
        <f>POWER(T$4-A99,2)</f>
        <v>8.99999999999999E-2</v>
      </c>
      <c r="U99" s="2">
        <f>POWER(U$4-B99,2)</f>
        <v>4.000000000000007E-2</v>
      </c>
      <c r="V99" s="2">
        <f>POWER(V$4-C99,2)</f>
        <v>3.9999999999999716E-2</v>
      </c>
      <c r="W99" s="2">
        <f>POWER(W$4-D99,2)</f>
        <v>0.35999999999999982</v>
      </c>
      <c r="X99" s="7">
        <f t="shared" si="9"/>
        <v>0.72801098892805149</v>
      </c>
      <c r="Y99" s="9">
        <f t="shared" si="10"/>
        <v>0.72801098892805149</v>
      </c>
      <c r="Z99" t="str">
        <f>IF(Y99=N99,"C1",IF(Y99=S99,"C2",IF(Y99=X99,"C3")))</f>
        <v>C3</v>
      </c>
    </row>
    <row r="100" spans="1:26" x14ac:dyDescent="0.2">
      <c r="A100">
        <v>6.4</v>
      </c>
      <c r="B100">
        <v>3.2</v>
      </c>
      <c r="C100">
        <v>5.3</v>
      </c>
      <c r="D100">
        <v>2.2999999999999998</v>
      </c>
      <c r="E100" s="3" t="s">
        <v>7</v>
      </c>
      <c r="J100" s="2">
        <f>POWER(J$4-A100,2)</f>
        <v>0.36000000000000065</v>
      </c>
      <c r="K100" s="2">
        <f>POWER(K$4-B100,2)</f>
        <v>0.63999999999999968</v>
      </c>
      <c r="L100" s="2">
        <f>POWER(L$4-C100,2)</f>
        <v>16.809999999999999</v>
      </c>
      <c r="M100" s="2">
        <f>POWER(M$4-D100,2)</f>
        <v>4.4099999999999984</v>
      </c>
      <c r="N100" s="7">
        <f t="shared" si="7"/>
        <v>4.7138094997570699</v>
      </c>
      <c r="O100" s="2">
        <f>POWER(O$4-A100,2)</f>
        <v>0.64000000000000112</v>
      </c>
      <c r="P100" s="2">
        <f>POWER(P$4-B100,2)</f>
        <v>4.000000000000007E-2</v>
      </c>
      <c r="Q100" s="2">
        <f>POWER(Q$4-C100,2)</f>
        <v>0.63999999999999968</v>
      </c>
      <c r="R100" s="2">
        <f>POWER(R$4-D100,2)</f>
        <v>0.63999999999999968</v>
      </c>
      <c r="S100" s="7">
        <f t="shared" si="8"/>
        <v>1.4000000000000001</v>
      </c>
      <c r="T100" s="2">
        <f>POWER(T$4-A100,2)</f>
        <v>9.0000000000000427E-2</v>
      </c>
      <c r="U100" s="2">
        <f>POWER(U$4-B100,2)</f>
        <v>4.000000000000007E-2</v>
      </c>
      <c r="V100" s="2">
        <f>POWER(V$4-C100,2)</f>
        <v>0.15999999999999959</v>
      </c>
      <c r="W100" s="2">
        <f>POWER(W$4-D100,2)</f>
        <v>0.24999999999999978</v>
      </c>
      <c r="X100" s="7">
        <f t="shared" si="9"/>
        <v>0.73484692283495334</v>
      </c>
      <c r="Y100" s="9">
        <f t="shared" si="10"/>
        <v>0.73484692283495334</v>
      </c>
      <c r="Z100" t="str">
        <f>IF(Y100=N100,"C1",IF(Y100=S100,"C2",IF(Y100=X100,"C3")))</f>
        <v>C3</v>
      </c>
    </row>
    <row r="101" spans="1:26" x14ac:dyDescent="0.2">
      <c r="A101">
        <v>6.5</v>
      </c>
      <c r="B101">
        <v>3</v>
      </c>
      <c r="C101">
        <v>5.5</v>
      </c>
      <c r="D101">
        <v>1.8</v>
      </c>
      <c r="E101" s="3" t="s">
        <v>7</v>
      </c>
      <c r="J101" s="2">
        <f>POWER(J$4-A101,2)</f>
        <v>0.49000000000000027</v>
      </c>
      <c r="K101" s="2">
        <f>POWER(K$4-B101,2)</f>
        <v>1</v>
      </c>
      <c r="L101" s="2">
        <f>POWER(L$4-C101,2)</f>
        <v>18.489999999999998</v>
      </c>
      <c r="M101" s="2">
        <f>POWER(M$4-D101,2)</f>
        <v>2.5600000000000005</v>
      </c>
      <c r="N101" s="7">
        <f t="shared" si="7"/>
        <v>4.7476309881876873</v>
      </c>
      <c r="O101" s="2">
        <f>POWER(O$4-A101,2)</f>
        <v>0.81000000000000061</v>
      </c>
      <c r="P101" s="2">
        <f>POWER(P$4-B101,2)</f>
        <v>0</v>
      </c>
      <c r="Q101" s="2">
        <f>POWER(Q$4-C101,2)</f>
        <v>1</v>
      </c>
      <c r="R101" s="2">
        <f>POWER(R$4-D101,2)</f>
        <v>9.0000000000000024E-2</v>
      </c>
      <c r="S101" s="7">
        <f t="shared" si="8"/>
        <v>1.3784048752090223</v>
      </c>
      <c r="T101" s="2">
        <f>POWER(T$4-A101,2)</f>
        <v>0.16000000000000028</v>
      </c>
      <c r="U101" s="2">
        <f>POWER(U$4-B101,2)</f>
        <v>0</v>
      </c>
      <c r="V101" s="2">
        <f>POWER(V$4-C101,2)</f>
        <v>0.3599999999999996</v>
      </c>
      <c r="W101" s="2">
        <f>POWER(W$4-D101,2)</f>
        <v>0</v>
      </c>
      <c r="X101" s="7">
        <f t="shared" si="9"/>
        <v>0.7211102550927978</v>
      </c>
      <c r="Y101" s="9">
        <f t="shared" si="10"/>
        <v>0.7211102550927978</v>
      </c>
      <c r="Z101" t="str">
        <f>IF(Y101=N101,"C1",IF(Y101=S101,"C2",IF(Y101=X101,"C3")))</f>
        <v>C3</v>
      </c>
    </row>
    <row r="102" spans="1:26" x14ac:dyDescent="0.2">
      <c r="A102">
        <v>7.7</v>
      </c>
      <c r="B102">
        <v>3.8</v>
      </c>
      <c r="C102">
        <v>6.7</v>
      </c>
      <c r="D102">
        <v>2.2000000000000002</v>
      </c>
      <c r="E102" s="3" t="s">
        <v>7</v>
      </c>
      <c r="J102" s="2">
        <f>POWER(J$4-A102,2)</f>
        <v>3.6100000000000012</v>
      </c>
      <c r="K102" s="2">
        <f>POWER(K$4-B102,2)</f>
        <v>4.000000000000007E-2</v>
      </c>
      <c r="L102" s="2">
        <f>POWER(L$4-C102,2)</f>
        <v>30.25</v>
      </c>
      <c r="M102" s="2">
        <f>POWER(M$4-D102,2)</f>
        <v>4</v>
      </c>
      <c r="N102" s="7">
        <f t="shared" si="7"/>
        <v>6.1562975886485543</v>
      </c>
      <c r="O102" s="2">
        <f>POWER(O$4-A102,2)</f>
        <v>4.4100000000000019</v>
      </c>
      <c r="P102" s="2">
        <f>POWER(P$4-B102,2)</f>
        <v>0.63999999999999968</v>
      </c>
      <c r="Q102" s="2">
        <f>POWER(Q$4-C102,2)</f>
        <v>4.8400000000000007</v>
      </c>
      <c r="R102" s="2">
        <f>POWER(R$4-D102,2)</f>
        <v>0.49000000000000027</v>
      </c>
      <c r="S102" s="7">
        <f t="shared" si="8"/>
        <v>3.2218007387174028</v>
      </c>
      <c r="T102" s="2">
        <f>POWER(T$4-A102,2)</f>
        <v>2.5600000000000018</v>
      </c>
      <c r="U102" s="2">
        <f>POWER(U$4-B102,2)</f>
        <v>0.63999999999999968</v>
      </c>
      <c r="V102" s="2">
        <f>POWER(V$4-C102,2)</f>
        <v>3.2399999999999993</v>
      </c>
      <c r="W102" s="2">
        <f>POWER(W$4-D102,2)</f>
        <v>0.16000000000000011</v>
      </c>
      <c r="X102" s="7">
        <f t="shared" si="9"/>
        <v>2.5690465157330262</v>
      </c>
      <c r="Y102" s="9">
        <f t="shared" si="10"/>
        <v>2.5690465157330262</v>
      </c>
      <c r="Z102" t="str">
        <f>IF(Y102=N102,"C1",IF(Y102=S102,"C2",IF(Y102=X102,"C3")))</f>
        <v>C3</v>
      </c>
    </row>
    <row r="103" spans="1:26" x14ac:dyDescent="0.2">
      <c r="A103">
        <v>7.7</v>
      </c>
      <c r="B103">
        <v>2.6</v>
      </c>
      <c r="C103">
        <v>6.9</v>
      </c>
      <c r="D103">
        <v>2.2999999999999998</v>
      </c>
      <c r="E103" s="3" t="s">
        <v>7</v>
      </c>
      <c r="J103" s="2">
        <f>POWER(J$4-A103,2)</f>
        <v>3.6100000000000012</v>
      </c>
      <c r="K103" s="2">
        <f>POWER(K$4-B103,2)</f>
        <v>1.9599999999999997</v>
      </c>
      <c r="L103" s="2">
        <f>POWER(L$4-C103,2)</f>
        <v>32.49</v>
      </c>
      <c r="M103" s="2">
        <f>POWER(M$4-D103,2)</f>
        <v>4.4099999999999984</v>
      </c>
      <c r="N103" s="7">
        <f t="shared" si="7"/>
        <v>6.5169011040524465</v>
      </c>
      <c r="O103" s="2">
        <f>POWER(O$4-A103,2)</f>
        <v>4.4100000000000019</v>
      </c>
      <c r="P103" s="2">
        <f>POWER(P$4-B103,2)</f>
        <v>0.15999999999999992</v>
      </c>
      <c r="Q103" s="2">
        <f>POWER(Q$4-C103,2)</f>
        <v>5.7600000000000016</v>
      </c>
      <c r="R103" s="2">
        <f>POWER(R$4-D103,2)</f>
        <v>0.63999999999999968</v>
      </c>
      <c r="S103" s="7">
        <f t="shared" si="8"/>
        <v>3.3120990323358392</v>
      </c>
      <c r="T103" s="2">
        <f>POWER(T$4-A103,2)</f>
        <v>2.5600000000000018</v>
      </c>
      <c r="U103" s="2">
        <f>POWER(U$4-B103,2)</f>
        <v>0.15999999999999992</v>
      </c>
      <c r="V103" s="2">
        <f>POWER(V$4-C103,2)</f>
        <v>4</v>
      </c>
      <c r="W103" s="2">
        <f>POWER(W$4-D103,2)</f>
        <v>0.24999999999999978</v>
      </c>
      <c r="X103" s="7">
        <f t="shared" si="9"/>
        <v>2.6400757564888173</v>
      </c>
      <c r="Y103" s="9">
        <f t="shared" si="10"/>
        <v>2.6400757564888173</v>
      </c>
      <c r="Z103" t="str">
        <f>IF(Y103=N103,"C1",IF(Y103=S103,"C2",IF(Y103=X103,"C3")))</f>
        <v>C3</v>
      </c>
    </row>
    <row r="104" spans="1:26" x14ac:dyDescent="0.2">
      <c r="A104">
        <v>6</v>
      </c>
      <c r="B104">
        <v>2.2000000000000002</v>
      </c>
      <c r="C104">
        <v>5</v>
      </c>
      <c r="D104">
        <v>1.5</v>
      </c>
      <c r="E104" s="3" t="s">
        <v>7</v>
      </c>
      <c r="J104" s="2">
        <f>POWER(J$4-A104,2)</f>
        <v>4.000000000000007E-2</v>
      </c>
      <c r="K104" s="2">
        <f>POWER(K$4-B104,2)</f>
        <v>3.2399999999999993</v>
      </c>
      <c r="L104" s="2">
        <f>POWER(L$4-C104,2)</f>
        <v>14.44</v>
      </c>
      <c r="M104" s="2">
        <f>POWER(M$4-D104,2)</f>
        <v>1.6900000000000002</v>
      </c>
      <c r="N104" s="7">
        <f t="shared" si="7"/>
        <v>4.4056781543821382</v>
      </c>
      <c r="O104" s="2">
        <f>POWER(O$4-A104,2)</f>
        <v>0.16000000000000028</v>
      </c>
      <c r="P104" s="2">
        <f>POWER(P$4-B104,2)</f>
        <v>0.63999999999999968</v>
      </c>
      <c r="Q104" s="2">
        <f>POWER(Q$4-C104,2)</f>
        <v>0.25</v>
      </c>
      <c r="R104" s="2">
        <f>POWER(R$4-D104,2)</f>
        <v>0</v>
      </c>
      <c r="S104" s="7">
        <f t="shared" si="8"/>
        <v>1.0246950765959597</v>
      </c>
      <c r="T104" s="2">
        <f>POWER(T$4-A104,2)</f>
        <v>9.9999999999999291E-3</v>
      </c>
      <c r="U104" s="2">
        <f>POWER(U$4-B104,2)</f>
        <v>0.63999999999999968</v>
      </c>
      <c r="V104" s="2">
        <f>POWER(V$4-C104,2)</f>
        <v>9.9999999999999291E-3</v>
      </c>
      <c r="W104" s="2">
        <f>POWER(W$4-D104,2)</f>
        <v>9.0000000000000024E-2</v>
      </c>
      <c r="X104" s="7">
        <f t="shared" si="9"/>
        <v>0.86602540378443837</v>
      </c>
      <c r="Y104" s="9">
        <f t="shared" si="10"/>
        <v>0.86602540378443837</v>
      </c>
      <c r="Z104" t="str">
        <f>IF(Y104=N104,"C1",IF(Y104=S104,"C2",IF(Y104=X104,"C3")))</f>
        <v>C3</v>
      </c>
    </row>
    <row r="105" spans="1:26" x14ac:dyDescent="0.2">
      <c r="A105">
        <v>6.9</v>
      </c>
      <c r="B105">
        <v>3.2</v>
      </c>
      <c r="C105">
        <v>5.7</v>
      </c>
      <c r="D105">
        <v>2.2999999999999998</v>
      </c>
      <c r="E105" s="3" t="s">
        <v>7</v>
      </c>
      <c r="J105" s="2">
        <f>POWER(J$4-A105,2)</f>
        <v>1.2100000000000011</v>
      </c>
      <c r="K105" s="2">
        <f>POWER(K$4-B105,2)</f>
        <v>0.63999999999999968</v>
      </c>
      <c r="L105" s="2">
        <f>POWER(L$4-C105,2)</f>
        <v>20.25</v>
      </c>
      <c r="M105" s="2">
        <f>POWER(M$4-D105,2)</f>
        <v>4.4099999999999984</v>
      </c>
      <c r="N105" s="7">
        <f t="shared" si="7"/>
        <v>5.1487862647423999</v>
      </c>
      <c r="O105" s="2">
        <f>POWER(O$4-A105,2)</f>
        <v>1.6900000000000019</v>
      </c>
      <c r="P105" s="2">
        <f>POWER(P$4-B105,2)</f>
        <v>4.000000000000007E-2</v>
      </c>
      <c r="Q105" s="2">
        <f>POWER(Q$4-C105,2)</f>
        <v>1.4400000000000004</v>
      </c>
      <c r="R105" s="2">
        <f>POWER(R$4-D105,2)</f>
        <v>0.63999999999999968</v>
      </c>
      <c r="S105" s="7">
        <f t="shared" si="8"/>
        <v>1.9519221295943141</v>
      </c>
      <c r="T105" s="2">
        <f>POWER(T$4-A105,2)</f>
        <v>0.64000000000000112</v>
      </c>
      <c r="U105" s="2">
        <f>POWER(U$4-B105,2)</f>
        <v>4.000000000000007E-2</v>
      </c>
      <c r="V105" s="2">
        <f>POWER(V$4-C105,2)</f>
        <v>0.63999999999999968</v>
      </c>
      <c r="W105" s="2">
        <f>POWER(W$4-D105,2)</f>
        <v>0.24999999999999978</v>
      </c>
      <c r="X105" s="7">
        <f t="shared" si="9"/>
        <v>1.2529964086141669</v>
      </c>
      <c r="Y105" s="9">
        <f t="shared" si="10"/>
        <v>1.2529964086141669</v>
      </c>
      <c r="Z105" t="str">
        <f>IF(Y105=N105,"C1",IF(Y105=S105,"C2",IF(Y105=X105,"C3")))</f>
        <v>C3</v>
      </c>
    </row>
    <row r="106" spans="1:26" x14ac:dyDescent="0.2">
      <c r="A106">
        <v>5.6</v>
      </c>
      <c r="B106">
        <v>2.8</v>
      </c>
      <c r="C106">
        <v>4.9000000000000004</v>
      </c>
      <c r="D106">
        <v>2</v>
      </c>
      <c r="E106" s="3" t="s">
        <v>7</v>
      </c>
      <c r="J106" s="2">
        <f>POWER(J$4-A106,2)</f>
        <v>4.000000000000007E-2</v>
      </c>
      <c r="K106" s="2">
        <f>POWER(K$4-B106,2)</f>
        <v>1.4400000000000004</v>
      </c>
      <c r="L106" s="2">
        <f>POWER(L$4-C106,2)</f>
        <v>13.690000000000001</v>
      </c>
      <c r="M106" s="2">
        <f>POWER(M$4-D106,2)</f>
        <v>3.24</v>
      </c>
      <c r="N106" s="7">
        <f t="shared" si="7"/>
        <v>4.2906875905849873</v>
      </c>
      <c r="O106" s="2">
        <f>POWER(O$4-A106,2)</f>
        <v>0</v>
      </c>
      <c r="P106" s="2">
        <f>POWER(P$4-B106,2)</f>
        <v>4.000000000000007E-2</v>
      </c>
      <c r="Q106" s="2">
        <f>POWER(Q$4-C106,2)</f>
        <v>0.16000000000000028</v>
      </c>
      <c r="R106" s="2">
        <f>POWER(R$4-D106,2)</f>
        <v>0.25</v>
      </c>
      <c r="S106" s="7">
        <f t="shared" si="8"/>
        <v>0.67082039324993714</v>
      </c>
      <c r="T106" s="2">
        <f>POWER(T$4-A106,2)</f>
        <v>0.25</v>
      </c>
      <c r="U106" s="2">
        <f>POWER(U$4-B106,2)</f>
        <v>4.000000000000007E-2</v>
      </c>
      <c r="V106" s="2">
        <f>POWER(V$4-C106,2)</f>
        <v>0</v>
      </c>
      <c r="W106" s="2">
        <f>POWER(W$4-D106,2)</f>
        <v>3.999999999999998E-2</v>
      </c>
      <c r="X106" s="7">
        <f t="shared" si="9"/>
        <v>0.57445626465380295</v>
      </c>
      <c r="Y106" s="9">
        <f t="shared" si="10"/>
        <v>0.57445626465380295</v>
      </c>
      <c r="Z106" t="str">
        <f>IF(Y106=N106,"C1",IF(Y106=S106,"C2",IF(Y106=X106,"C3")))</f>
        <v>C3</v>
      </c>
    </row>
    <row r="107" spans="1:26" x14ac:dyDescent="0.2">
      <c r="A107">
        <v>7.7</v>
      </c>
      <c r="B107">
        <v>2.8</v>
      </c>
      <c r="C107">
        <v>6.7</v>
      </c>
      <c r="D107">
        <v>2</v>
      </c>
      <c r="E107" s="3" t="s">
        <v>7</v>
      </c>
      <c r="J107" s="2">
        <f>POWER(J$4-A107,2)</f>
        <v>3.6100000000000012</v>
      </c>
      <c r="K107" s="2">
        <f>POWER(K$4-B107,2)</f>
        <v>1.4400000000000004</v>
      </c>
      <c r="L107" s="2">
        <f>POWER(L$4-C107,2)</f>
        <v>30.25</v>
      </c>
      <c r="M107" s="2">
        <f>POWER(M$4-D107,2)</f>
        <v>3.24</v>
      </c>
      <c r="N107" s="7">
        <f t="shared" si="7"/>
        <v>6.2080592780675028</v>
      </c>
      <c r="O107" s="2">
        <f>POWER(O$4-A107,2)</f>
        <v>4.4100000000000019</v>
      </c>
      <c r="P107" s="2">
        <f>POWER(P$4-B107,2)</f>
        <v>4.000000000000007E-2</v>
      </c>
      <c r="Q107" s="2">
        <f>POWER(Q$4-C107,2)</f>
        <v>4.8400000000000007</v>
      </c>
      <c r="R107" s="2">
        <f>POWER(R$4-D107,2)</f>
        <v>0.25</v>
      </c>
      <c r="S107" s="7">
        <f t="shared" si="8"/>
        <v>3.0886890422961004</v>
      </c>
      <c r="T107" s="2">
        <f>POWER(T$4-A107,2)</f>
        <v>2.5600000000000018</v>
      </c>
      <c r="U107" s="2">
        <f>POWER(U$4-B107,2)</f>
        <v>4.000000000000007E-2</v>
      </c>
      <c r="V107" s="2">
        <f>POWER(V$4-C107,2)</f>
        <v>3.2399999999999993</v>
      </c>
      <c r="W107" s="2">
        <f>POWER(W$4-D107,2)</f>
        <v>3.999999999999998E-2</v>
      </c>
      <c r="X107" s="7">
        <f t="shared" si="9"/>
        <v>2.4248711305964283</v>
      </c>
      <c r="Y107" s="9">
        <f t="shared" si="10"/>
        <v>2.4248711305964283</v>
      </c>
      <c r="Z107" t="str">
        <f>IF(Y107=N107,"C1",IF(Y107=S107,"C2",IF(Y107=X107,"C3")))</f>
        <v>C3</v>
      </c>
    </row>
    <row r="108" spans="1:26" x14ac:dyDescent="0.2">
      <c r="A108">
        <v>6.3</v>
      </c>
      <c r="B108">
        <v>2.7</v>
      </c>
      <c r="C108">
        <v>4.9000000000000004</v>
      </c>
      <c r="D108">
        <v>1.8</v>
      </c>
      <c r="E108" s="3" t="s">
        <v>7</v>
      </c>
      <c r="J108" s="2">
        <f>POWER(J$4-A108,2)</f>
        <v>0.25</v>
      </c>
      <c r="K108" s="2">
        <f>POWER(K$4-B108,2)</f>
        <v>1.6899999999999995</v>
      </c>
      <c r="L108" s="2">
        <f>POWER(L$4-C108,2)</f>
        <v>13.690000000000001</v>
      </c>
      <c r="M108" s="2">
        <f>POWER(M$4-D108,2)</f>
        <v>2.5600000000000005</v>
      </c>
      <c r="N108" s="7">
        <f t="shared" si="7"/>
        <v>4.2649736224272248</v>
      </c>
      <c r="O108" s="2">
        <f>POWER(O$4-A108,2)</f>
        <v>0.49000000000000027</v>
      </c>
      <c r="P108" s="2">
        <f>POWER(P$4-B108,2)</f>
        <v>8.99999999999999E-2</v>
      </c>
      <c r="Q108" s="2">
        <f>POWER(Q$4-C108,2)</f>
        <v>0.16000000000000028</v>
      </c>
      <c r="R108" s="2">
        <f>POWER(R$4-D108,2)</f>
        <v>9.0000000000000024E-2</v>
      </c>
      <c r="S108" s="7">
        <f t="shared" si="8"/>
        <v>0.91104335791443014</v>
      </c>
      <c r="T108" s="2">
        <f>POWER(T$4-A108,2)</f>
        <v>4.000000000000007E-2</v>
      </c>
      <c r="U108" s="2">
        <f>POWER(U$4-B108,2)</f>
        <v>8.99999999999999E-2</v>
      </c>
      <c r="V108" s="2">
        <f>POWER(V$4-C108,2)</f>
        <v>0</v>
      </c>
      <c r="W108" s="2">
        <f>POWER(W$4-D108,2)</f>
        <v>0</v>
      </c>
      <c r="X108" s="7">
        <f t="shared" si="9"/>
        <v>0.3605551275463989</v>
      </c>
      <c r="Y108" s="9">
        <f t="shared" si="10"/>
        <v>0.3605551275463989</v>
      </c>
      <c r="Z108" t="str">
        <f>IF(Y108=N108,"C1",IF(Y108=S108,"C2",IF(Y108=X108,"C3")))</f>
        <v>C3</v>
      </c>
    </row>
    <row r="109" spans="1:26" x14ac:dyDescent="0.2">
      <c r="A109">
        <v>6.7</v>
      </c>
      <c r="B109">
        <v>3.3</v>
      </c>
      <c r="C109">
        <v>5.7</v>
      </c>
      <c r="D109">
        <v>2.1</v>
      </c>
      <c r="E109" s="3" t="s">
        <v>7</v>
      </c>
      <c r="J109" s="2">
        <f>POWER(J$4-A109,2)</f>
        <v>0.81000000000000061</v>
      </c>
      <c r="K109" s="2">
        <f>POWER(K$4-B109,2)</f>
        <v>0.49000000000000027</v>
      </c>
      <c r="L109" s="2">
        <f>POWER(L$4-C109,2)</f>
        <v>20.25</v>
      </c>
      <c r="M109" s="2">
        <f>POWER(M$4-D109,2)</f>
        <v>3.6100000000000003</v>
      </c>
      <c r="N109" s="7">
        <f t="shared" si="7"/>
        <v>5.0159744815937808</v>
      </c>
      <c r="O109" s="2">
        <f>POWER(O$4-A109,2)</f>
        <v>1.2100000000000011</v>
      </c>
      <c r="P109" s="2">
        <f>POWER(P$4-B109,2)</f>
        <v>8.99999999999999E-2</v>
      </c>
      <c r="Q109" s="2">
        <f>POWER(Q$4-C109,2)</f>
        <v>1.4400000000000004</v>
      </c>
      <c r="R109" s="2">
        <f>POWER(R$4-D109,2)</f>
        <v>0.3600000000000001</v>
      </c>
      <c r="S109" s="7">
        <f t="shared" si="8"/>
        <v>1.7606816861659014</v>
      </c>
      <c r="T109" s="2">
        <f>POWER(T$4-A109,2)</f>
        <v>0.36000000000000065</v>
      </c>
      <c r="U109" s="2">
        <f>POWER(U$4-B109,2)</f>
        <v>8.99999999999999E-2</v>
      </c>
      <c r="V109" s="2">
        <f>POWER(V$4-C109,2)</f>
        <v>0.63999999999999968</v>
      </c>
      <c r="W109" s="2">
        <f>POWER(W$4-D109,2)</f>
        <v>9.0000000000000024E-2</v>
      </c>
      <c r="X109" s="7">
        <f t="shared" si="9"/>
        <v>1.0862780491200217</v>
      </c>
      <c r="Y109" s="9">
        <f t="shared" si="10"/>
        <v>1.0862780491200217</v>
      </c>
      <c r="Z109" t="str">
        <f>IF(Y109=N109,"C1",IF(Y109=S109,"C2",IF(Y109=X109,"C3")))</f>
        <v>C3</v>
      </c>
    </row>
    <row r="110" spans="1:26" x14ac:dyDescent="0.2">
      <c r="A110">
        <v>7.2</v>
      </c>
      <c r="B110">
        <v>3.2</v>
      </c>
      <c r="C110">
        <v>6</v>
      </c>
      <c r="D110">
        <v>1.8</v>
      </c>
      <c r="E110" s="3" t="s">
        <v>7</v>
      </c>
      <c r="J110" s="2">
        <f>POWER(J$4-A110,2)</f>
        <v>1.9600000000000011</v>
      </c>
      <c r="K110" s="2">
        <f>POWER(K$4-B110,2)</f>
        <v>0.63999999999999968</v>
      </c>
      <c r="L110" s="2">
        <f>POWER(L$4-C110,2)</f>
        <v>23.04</v>
      </c>
      <c r="M110" s="2">
        <f>POWER(M$4-D110,2)</f>
        <v>2.5600000000000005</v>
      </c>
      <c r="N110" s="7">
        <f t="shared" si="7"/>
        <v>5.3103672189407014</v>
      </c>
      <c r="O110" s="2">
        <f>POWER(O$4-A110,2)</f>
        <v>2.5600000000000018</v>
      </c>
      <c r="P110" s="2">
        <f>POWER(P$4-B110,2)</f>
        <v>4.000000000000007E-2</v>
      </c>
      <c r="Q110" s="2">
        <f>POWER(Q$4-C110,2)</f>
        <v>2.25</v>
      </c>
      <c r="R110" s="2">
        <f>POWER(R$4-D110,2)</f>
        <v>9.0000000000000024E-2</v>
      </c>
      <c r="S110" s="7">
        <f t="shared" si="8"/>
        <v>2.2226110770892871</v>
      </c>
      <c r="T110" s="2">
        <f>POWER(T$4-A110,2)</f>
        <v>1.2100000000000011</v>
      </c>
      <c r="U110" s="2">
        <f>POWER(U$4-B110,2)</f>
        <v>4.000000000000007E-2</v>
      </c>
      <c r="V110" s="2">
        <f>POWER(V$4-C110,2)</f>
        <v>1.2099999999999993</v>
      </c>
      <c r="W110" s="2">
        <f>POWER(W$4-D110,2)</f>
        <v>0</v>
      </c>
      <c r="X110" s="7">
        <f t="shared" si="9"/>
        <v>1.5684387141358123</v>
      </c>
      <c r="Y110" s="9">
        <f t="shared" si="10"/>
        <v>1.5684387141358123</v>
      </c>
      <c r="Z110" t="str">
        <f>IF(Y110=N110,"C1",IF(Y110=S110,"C2",IF(Y110=X110,"C3")))</f>
        <v>C3</v>
      </c>
    </row>
    <row r="111" spans="1:26" x14ac:dyDescent="0.2">
      <c r="A111">
        <v>6.2</v>
      </c>
      <c r="B111">
        <v>2.8</v>
      </c>
      <c r="C111">
        <v>4.8</v>
      </c>
      <c r="D111">
        <v>1.8</v>
      </c>
      <c r="E111" s="3" t="s">
        <v>7</v>
      </c>
      <c r="J111" s="2">
        <f>POWER(J$4-A111,2)</f>
        <v>0.16000000000000028</v>
      </c>
      <c r="K111" s="2">
        <f>POWER(K$4-B111,2)</f>
        <v>1.4400000000000004</v>
      </c>
      <c r="L111" s="2">
        <f>POWER(L$4-C111,2)</f>
        <v>12.959999999999997</v>
      </c>
      <c r="M111" s="2">
        <f>POWER(M$4-D111,2)</f>
        <v>2.5600000000000005</v>
      </c>
      <c r="N111" s="7">
        <f t="shared" si="7"/>
        <v>4.1376321731154402</v>
      </c>
      <c r="O111" s="2">
        <f>POWER(O$4-A111,2)</f>
        <v>0.36000000000000065</v>
      </c>
      <c r="P111" s="2">
        <f>POWER(P$4-B111,2)</f>
        <v>4.000000000000007E-2</v>
      </c>
      <c r="Q111" s="2">
        <f>POWER(Q$4-C111,2)</f>
        <v>8.99999999999999E-2</v>
      </c>
      <c r="R111" s="2">
        <f>POWER(R$4-D111,2)</f>
        <v>9.0000000000000024E-2</v>
      </c>
      <c r="S111" s="7">
        <f t="shared" si="8"/>
        <v>0.76157731058639133</v>
      </c>
      <c r="T111" s="2">
        <f>POWER(T$4-A111,2)</f>
        <v>1.0000000000000106E-2</v>
      </c>
      <c r="U111" s="2">
        <f>POWER(U$4-B111,2)</f>
        <v>4.000000000000007E-2</v>
      </c>
      <c r="V111" s="2">
        <f>POWER(V$4-C111,2)</f>
        <v>1.0000000000000106E-2</v>
      </c>
      <c r="W111" s="2">
        <f>POWER(W$4-D111,2)</f>
        <v>0</v>
      </c>
      <c r="X111" s="7">
        <f t="shared" si="9"/>
        <v>0.24494897427831838</v>
      </c>
      <c r="Y111" s="9">
        <f t="shared" si="10"/>
        <v>0.24494897427831838</v>
      </c>
      <c r="Z111" t="str">
        <f>IF(Y111=N111,"C1",IF(Y111=S111,"C2",IF(Y111=X111,"C3")))</f>
        <v>C3</v>
      </c>
    </row>
    <row r="112" spans="1:26" x14ac:dyDescent="0.2">
      <c r="A112">
        <v>6.1</v>
      </c>
      <c r="B112">
        <v>3</v>
      </c>
      <c r="C112">
        <v>4.9000000000000004</v>
      </c>
      <c r="D112">
        <v>1.8</v>
      </c>
      <c r="E112" s="3" t="s">
        <v>7</v>
      </c>
      <c r="J112" s="2">
        <f>POWER(J$4-A112,2)</f>
        <v>8.99999999999999E-2</v>
      </c>
      <c r="K112" s="2">
        <f>POWER(K$4-B112,2)</f>
        <v>1</v>
      </c>
      <c r="L112" s="2">
        <f>POWER(L$4-C112,2)</f>
        <v>13.690000000000001</v>
      </c>
      <c r="M112" s="2">
        <f>POWER(M$4-D112,2)</f>
        <v>2.5600000000000005</v>
      </c>
      <c r="N112" s="7">
        <f t="shared" si="7"/>
        <v>4.1641325627314032</v>
      </c>
      <c r="O112" s="2">
        <f>POWER(O$4-A112,2)</f>
        <v>0.25</v>
      </c>
      <c r="P112" s="2">
        <f>POWER(P$4-B112,2)</f>
        <v>0</v>
      </c>
      <c r="Q112" s="2">
        <f>POWER(Q$4-C112,2)</f>
        <v>0.16000000000000028</v>
      </c>
      <c r="R112" s="2">
        <f>POWER(R$4-D112,2)</f>
        <v>9.0000000000000024E-2</v>
      </c>
      <c r="S112" s="7">
        <f t="shared" si="8"/>
        <v>0.70710678118654768</v>
      </c>
      <c r="T112" s="2">
        <f>POWER(T$4-A112,2)</f>
        <v>0</v>
      </c>
      <c r="U112" s="2">
        <f>POWER(U$4-B112,2)</f>
        <v>0</v>
      </c>
      <c r="V112" s="2">
        <f>POWER(V$4-C112,2)</f>
        <v>0</v>
      </c>
      <c r="W112" s="2">
        <f>POWER(W$4-D112,2)</f>
        <v>0</v>
      </c>
      <c r="X112" s="7">
        <f t="shared" si="9"/>
        <v>0</v>
      </c>
      <c r="Y112" s="9">
        <f t="shared" si="10"/>
        <v>0</v>
      </c>
      <c r="Z112" t="str">
        <f>IF(Y112=N112,"C1",IF(Y112=S112,"C2",IF(Y112=X112,"C3")))</f>
        <v>C3</v>
      </c>
    </row>
    <row r="113" spans="1:26" x14ac:dyDescent="0.2">
      <c r="A113">
        <v>6.4</v>
      </c>
      <c r="B113">
        <v>2.8</v>
      </c>
      <c r="C113">
        <v>5.6</v>
      </c>
      <c r="D113">
        <v>2.1</v>
      </c>
      <c r="E113" s="3" t="s">
        <v>7</v>
      </c>
      <c r="J113" s="2">
        <f>POWER(J$4-A113,2)</f>
        <v>0.36000000000000065</v>
      </c>
      <c r="K113" s="2">
        <f>POWER(K$4-B113,2)</f>
        <v>1.4400000000000004</v>
      </c>
      <c r="L113" s="2">
        <f>POWER(L$4-C113,2)</f>
        <v>19.359999999999996</v>
      </c>
      <c r="M113" s="2">
        <f>POWER(M$4-D113,2)</f>
        <v>3.6100000000000003</v>
      </c>
      <c r="N113" s="7">
        <f t="shared" si="7"/>
        <v>4.9769468552517209</v>
      </c>
      <c r="O113" s="2">
        <f>POWER(O$4-A113,2)</f>
        <v>0.64000000000000112</v>
      </c>
      <c r="P113" s="2">
        <f>POWER(P$4-B113,2)</f>
        <v>4.000000000000007E-2</v>
      </c>
      <c r="Q113" s="2">
        <f>POWER(Q$4-C113,2)</f>
        <v>1.2099999999999993</v>
      </c>
      <c r="R113" s="2">
        <f>POWER(R$4-D113,2)</f>
        <v>0.3600000000000001</v>
      </c>
      <c r="S113" s="7">
        <f t="shared" si="8"/>
        <v>1.5000000000000002</v>
      </c>
      <c r="T113" s="2">
        <f>POWER(T$4-A113,2)</f>
        <v>9.0000000000000427E-2</v>
      </c>
      <c r="U113" s="2">
        <f>POWER(U$4-B113,2)</f>
        <v>4.000000000000007E-2</v>
      </c>
      <c r="V113" s="2">
        <f>POWER(V$4-C113,2)</f>
        <v>0.48999999999999899</v>
      </c>
      <c r="W113" s="2">
        <f>POWER(W$4-D113,2)</f>
        <v>9.0000000000000024E-2</v>
      </c>
      <c r="X113" s="7">
        <f t="shared" si="9"/>
        <v>0.84261497731763557</v>
      </c>
      <c r="Y113" s="9">
        <f t="shared" si="10"/>
        <v>0.84261497731763557</v>
      </c>
      <c r="Z113" t="str">
        <f>IF(Y113=N113,"C1",IF(Y113=S113,"C2",IF(Y113=X113,"C3")))</f>
        <v>C3</v>
      </c>
    </row>
    <row r="114" spans="1:26" x14ac:dyDescent="0.2">
      <c r="A114">
        <v>7.2</v>
      </c>
      <c r="B114">
        <v>3</v>
      </c>
      <c r="C114">
        <v>5.8</v>
      </c>
      <c r="D114">
        <v>1.6</v>
      </c>
      <c r="E114" s="3" t="s">
        <v>7</v>
      </c>
      <c r="J114" s="2">
        <f>POWER(J$4-A114,2)</f>
        <v>1.9600000000000011</v>
      </c>
      <c r="K114" s="2">
        <f>POWER(K$4-B114,2)</f>
        <v>1</v>
      </c>
      <c r="L114" s="2">
        <f>POWER(L$4-C114,2)</f>
        <v>21.159999999999997</v>
      </c>
      <c r="M114" s="2">
        <f>POWER(M$4-D114,2)</f>
        <v>1.9600000000000004</v>
      </c>
      <c r="N114" s="7">
        <f t="shared" si="7"/>
        <v>5.1068581339214818</v>
      </c>
      <c r="O114" s="2">
        <f>POWER(O$4-A114,2)</f>
        <v>2.5600000000000018</v>
      </c>
      <c r="P114" s="2">
        <f>POWER(P$4-B114,2)</f>
        <v>0</v>
      </c>
      <c r="Q114" s="2">
        <f>POWER(Q$4-C114,2)</f>
        <v>1.6899999999999995</v>
      </c>
      <c r="R114" s="2">
        <f>POWER(R$4-D114,2)</f>
        <v>1.0000000000000018E-2</v>
      </c>
      <c r="S114" s="7">
        <f t="shared" si="8"/>
        <v>2.0639767440550298</v>
      </c>
      <c r="T114" s="2">
        <f>POWER(T$4-A114,2)</f>
        <v>1.2100000000000011</v>
      </c>
      <c r="U114" s="2">
        <f>POWER(U$4-B114,2)</f>
        <v>0</v>
      </c>
      <c r="V114" s="2">
        <f>POWER(V$4-C114,2)</f>
        <v>0.80999999999999905</v>
      </c>
      <c r="W114" s="2">
        <f>POWER(W$4-D114,2)</f>
        <v>3.999999999999998E-2</v>
      </c>
      <c r="X114" s="7">
        <f t="shared" si="9"/>
        <v>1.4352700094407325</v>
      </c>
      <c r="Y114" s="9">
        <f t="shared" si="10"/>
        <v>1.4352700094407325</v>
      </c>
      <c r="Z114" t="str">
        <f>IF(Y114=N114,"C1",IF(Y114=S114,"C2",IF(Y114=X114,"C3")))</f>
        <v>C3</v>
      </c>
    </row>
    <row r="115" spans="1:26" x14ac:dyDescent="0.2">
      <c r="A115">
        <v>7.4</v>
      </c>
      <c r="B115">
        <v>2.8</v>
      </c>
      <c r="C115">
        <v>6.1</v>
      </c>
      <c r="D115">
        <v>1.9</v>
      </c>
      <c r="E115" s="3" t="s">
        <v>7</v>
      </c>
      <c r="J115" s="2">
        <f>POWER(J$4-A115,2)</f>
        <v>2.5600000000000018</v>
      </c>
      <c r="K115" s="2">
        <f>POWER(K$4-B115,2)</f>
        <v>1.4400000000000004</v>
      </c>
      <c r="L115" s="2">
        <f>POWER(L$4-C115,2)</f>
        <v>24.009999999999994</v>
      </c>
      <c r="M115" s="2">
        <f>POWER(M$4-D115,2)</f>
        <v>2.8899999999999997</v>
      </c>
      <c r="N115" s="7">
        <f t="shared" si="7"/>
        <v>5.5587768438749183</v>
      </c>
      <c r="O115" s="2">
        <f>POWER(O$4-A115,2)</f>
        <v>3.2400000000000024</v>
      </c>
      <c r="P115" s="2">
        <f>POWER(P$4-B115,2)</f>
        <v>4.000000000000007E-2</v>
      </c>
      <c r="Q115" s="2">
        <f>POWER(Q$4-C115,2)</f>
        <v>2.5599999999999987</v>
      </c>
      <c r="R115" s="2">
        <f>POWER(R$4-D115,2)</f>
        <v>0.15999999999999992</v>
      </c>
      <c r="S115" s="7">
        <f t="shared" si="8"/>
        <v>2.4494897427831783</v>
      </c>
      <c r="T115" s="2">
        <f>POWER(T$4-A115,2)</f>
        <v>1.6900000000000019</v>
      </c>
      <c r="U115" s="2">
        <f>POWER(U$4-B115,2)</f>
        <v>4.000000000000007E-2</v>
      </c>
      <c r="V115" s="2">
        <f>POWER(V$4-C115,2)</f>
        <v>1.4399999999999984</v>
      </c>
      <c r="W115" s="2">
        <f>POWER(W$4-D115,2)</f>
        <v>9.9999999999999742E-3</v>
      </c>
      <c r="X115" s="7">
        <f t="shared" si="9"/>
        <v>1.7832554500127009</v>
      </c>
      <c r="Y115" s="9">
        <f t="shared" si="10"/>
        <v>1.7832554500127009</v>
      </c>
      <c r="Z115" t="str">
        <f>IF(Y115=N115,"C1",IF(Y115=S115,"C2",IF(Y115=X115,"C3")))</f>
        <v>C3</v>
      </c>
    </row>
    <row r="116" spans="1:26" x14ac:dyDescent="0.2">
      <c r="A116">
        <v>7.9</v>
      </c>
      <c r="B116">
        <v>3.8</v>
      </c>
      <c r="C116">
        <v>6.4</v>
      </c>
      <c r="D116">
        <v>2</v>
      </c>
      <c r="E116" s="3" t="s">
        <v>7</v>
      </c>
      <c r="J116" s="2">
        <f>POWER(J$4-A116,2)</f>
        <v>4.4100000000000019</v>
      </c>
      <c r="K116" s="2">
        <f>POWER(K$4-B116,2)</f>
        <v>4.000000000000007E-2</v>
      </c>
      <c r="L116" s="2">
        <f>POWER(L$4-C116,2)</f>
        <v>27.040000000000003</v>
      </c>
      <c r="M116" s="2">
        <f>POWER(M$4-D116,2)</f>
        <v>3.24</v>
      </c>
      <c r="N116" s="7">
        <f t="shared" si="7"/>
        <v>5.8932164392630284</v>
      </c>
      <c r="O116" s="2">
        <f>POWER(O$4-A116,2)</f>
        <v>5.2900000000000036</v>
      </c>
      <c r="P116" s="2">
        <f>POWER(P$4-B116,2)</f>
        <v>0.63999999999999968</v>
      </c>
      <c r="Q116" s="2">
        <f>POWER(Q$4-C116,2)</f>
        <v>3.6100000000000012</v>
      </c>
      <c r="R116" s="2">
        <f>POWER(R$4-D116,2)</f>
        <v>0.25</v>
      </c>
      <c r="S116" s="7">
        <f t="shared" si="8"/>
        <v>3.1288975694324037</v>
      </c>
      <c r="T116" s="2">
        <f>POWER(T$4-A116,2)</f>
        <v>3.2400000000000024</v>
      </c>
      <c r="U116" s="2">
        <f>POWER(U$4-B116,2)</f>
        <v>0.63999999999999968</v>
      </c>
      <c r="V116" s="2">
        <f>POWER(V$4-C116,2)</f>
        <v>2.25</v>
      </c>
      <c r="W116" s="2">
        <f>POWER(W$4-D116,2)</f>
        <v>3.999999999999998E-2</v>
      </c>
      <c r="X116" s="7">
        <f t="shared" si="9"/>
        <v>2.4839484696748446</v>
      </c>
      <c r="Y116" s="9">
        <f t="shared" si="10"/>
        <v>2.4839484696748446</v>
      </c>
      <c r="Z116" t="str">
        <f>IF(Y116=N116,"C1",IF(Y116=S116,"C2",IF(Y116=X116,"C3")))</f>
        <v>C3</v>
      </c>
    </row>
    <row r="117" spans="1:26" x14ac:dyDescent="0.2">
      <c r="A117">
        <v>6.4</v>
      </c>
      <c r="B117">
        <v>2.8</v>
      </c>
      <c r="C117">
        <v>5.6</v>
      </c>
      <c r="D117">
        <v>2.2000000000000002</v>
      </c>
      <c r="E117" s="3" t="s">
        <v>7</v>
      </c>
      <c r="J117" s="2">
        <f>POWER(J$4-A117,2)</f>
        <v>0.36000000000000065</v>
      </c>
      <c r="K117" s="2">
        <f>POWER(K$4-B117,2)</f>
        <v>1.4400000000000004</v>
      </c>
      <c r="L117" s="2">
        <f>POWER(L$4-C117,2)</f>
        <v>19.359999999999996</v>
      </c>
      <c r="M117" s="2">
        <f>POWER(M$4-D117,2)</f>
        <v>4</v>
      </c>
      <c r="N117" s="7">
        <f t="shared" si="7"/>
        <v>5.0159744815937808</v>
      </c>
      <c r="O117" s="2">
        <f>POWER(O$4-A117,2)</f>
        <v>0.64000000000000112</v>
      </c>
      <c r="P117" s="2">
        <f>POWER(P$4-B117,2)</f>
        <v>4.000000000000007E-2</v>
      </c>
      <c r="Q117" s="2">
        <f>POWER(Q$4-C117,2)</f>
        <v>1.2099999999999993</v>
      </c>
      <c r="R117" s="2">
        <f>POWER(R$4-D117,2)</f>
        <v>0.49000000000000027</v>
      </c>
      <c r="S117" s="7">
        <f t="shared" si="8"/>
        <v>1.5427248620541516</v>
      </c>
      <c r="T117" s="2">
        <f>POWER(T$4-A117,2)</f>
        <v>9.0000000000000427E-2</v>
      </c>
      <c r="U117" s="2">
        <f>POWER(U$4-B117,2)</f>
        <v>4.000000000000007E-2</v>
      </c>
      <c r="V117" s="2">
        <f>POWER(V$4-C117,2)</f>
        <v>0.48999999999999899</v>
      </c>
      <c r="W117" s="2">
        <f>POWER(W$4-D117,2)</f>
        <v>0.16000000000000011</v>
      </c>
      <c r="X117" s="7">
        <f t="shared" si="9"/>
        <v>0.88317608663278446</v>
      </c>
      <c r="Y117" s="9">
        <f t="shared" si="10"/>
        <v>0.88317608663278446</v>
      </c>
      <c r="Z117" t="str">
        <f>IF(Y117=N117,"C1",IF(Y117=S117,"C2",IF(Y117=X117,"C3")))</f>
        <v>C3</v>
      </c>
    </row>
    <row r="118" spans="1:26" x14ac:dyDescent="0.2">
      <c r="A118">
        <v>6.3</v>
      </c>
      <c r="B118">
        <v>2.8</v>
      </c>
      <c r="C118">
        <v>5.0999999999999996</v>
      </c>
      <c r="D118">
        <v>1.5</v>
      </c>
      <c r="E118" s="3" t="s">
        <v>7</v>
      </c>
      <c r="J118" s="2">
        <f>POWER(J$4-A118,2)</f>
        <v>0.25</v>
      </c>
      <c r="K118" s="2">
        <f>POWER(K$4-B118,2)</f>
        <v>1.4400000000000004</v>
      </c>
      <c r="L118" s="2">
        <f>POWER(L$4-C118,2)</f>
        <v>15.209999999999996</v>
      </c>
      <c r="M118" s="2">
        <f>POWER(M$4-D118,2)</f>
        <v>1.6900000000000002</v>
      </c>
      <c r="N118" s="7">
        <f t="shared" si="7"/>
        <v>4.3116122274620192</v>
      </c>
      <c r="O118" s="2">
        <f>POWER(O$4-A118,2)</f>
        <v>0.49000000000000027</v>
      </c>
      <c r="P118" s="2">
        <f>POWER(P$4-B118,2)</f>
        <v>4.000000000000007E-2</v>
      </c>
      <c r="Q118" s="2">
        <f>POWER(Q$4-C118,2)</f>
        <v>0.3599999999999996</v>
      </c>
      <c r="R118" s="2">
        <f>POWER(R$4-D118,2)</f>
        <v>0</v>
      </c>
      <c r="S118" s="7">
        <f t="shared" si="8"/>
        <v>0.94339811320566036</v>
      </c>
      <c r="T118" s="2">
        <f>POWER(T$4-A118,2)</f>
        <v>4.000000000000007E-2</v>
      </c>
      <c r="U118" s="2">
        <f>POWER(U$4-B118,2)</f>
        <v>4.000000000000007E-2</v>
      </c>
      <c r="V118" s="2">
        <f>POWER(V$4-C118,2)</f>
        <v>3.9999999999999716E-2</v>
      </c>
      <c r="W118" s="2">
        <f>POWER(W$4-D118,2)</f>
        <v>9.0000000000000024E-2</v>
      </c>
      <c r="X118" s="7">
        <f t="shared" si="9"/>
        <v>0.45825756949558388</v>
      </c>
      <c r="Y118" s="9">
        <f t="shared" si="10"/>
        <v>0.45825756949558388</v>
      </c>
      <c r="Z118" t="str">
        <f>IF(Y118=N118,"C1",IF(Y118=S118,"C2",IF(Y118=X118,"C3")))</f>
        <v>C3</v>
      </c>
    </row>
    <row r="119" spans="1:26" x14ac:dyDescent="0.2">
      <c r="A119">
        <v>6.7</v>
      </c>
      <c r="B119">
        <v>3.3</v>
      </c>
      <c r="C119">
        <v>5.7</v>
      </c>
      <c r="D119">
        <v>2.5</v>
      </c>
      <c r="E119" s="3" t="s">
        <v>7</v>
      </c>
      <c r="J119" s="2">
        <f>POWER(J$4-A119,2)</f>
        <v>0.81000000000000061</v>
      </c>
      <c r="K119" s="2">
        <f>POWER(K$4-B119,2)</f>
        <v>0.49000000000000027</v>
      </c>
      <c r="L119" s="2">
        <f>POWER(L$4-C119,2)</f>
        <v>20.25</v>
      </c>
      <c r="M119" s="2">
        <f>POWER(M$4-D119,2)</f>
        <v>5.2899999999999991</v>
      </c>
      <c r="N119" s="7">
        <f t="shared" si="7"/>
        <v>5.1807335387954474</v>
      </c>
      <c r="O119" s="2">
        <f>POWER(O$4-A119,2)</f>
        <v>1.2100000000000011</v>
      </c>
      <c r="P119" s="2">
        <f>POWER(P$4-B119,2)</f>
        <v>8.99999999999999E-2</v>
      </c>
      <c r="Q119" s="2">
        <f>POWER(Q$4-C119,2)</f>
        <v>1.4400000000000004</v>
      </c>
      <c r="R119" s="2">
        <f>POWER(R$4-D119,2)</f>
        <v>1</v>
      </c>
      <c r="S119" s="7">
        <f t="shared" si="8"/>
        <v>1.9339079605813718</v>
      </c>
      <c r="T119" s="2">
        <f>POWER(T$4-A119,2)</f>
        <v>0.36000000000000065</v>
      </c>
      <c r="U119" s="2">
        <f>POWER(U$4-B119,2)</f>
        <v>8.99999999999999E-2</v>
      </c>
      <c r="V119" s="2">
        <f>POWER(V$4-C119,2)</f>
        <v>0.63999999999999968</v>
      </c>
      <c r="W119" s="2">
        <f>POWER(W$4-D119,2)</f>
        <v>0.48999999999999994</v>
      </c>
      <c r="X119" s="7">
        <f t="shared" si="9"/>
        <v>1.2569805089976536</v>
      </c>
      <c r="Y119" s="9">
        <f t="shared" si="10"/>
        <v>1.2569805089976536</v>
      </c>
      <c r="Z119" t="str">
        <f>IF(Y119=N119,"C1",IF(Y119=S119,"C2",IF(Y119=X119,"C3")))</f>
        <v>C3</v>
      </c>
    </row>
    <row r="120" spans="1:26" x14ac:dyDescent="0.2">
      <c r="A120">
        <v>6.7</v>
      </c>
      <c r="B120">
        <v>3</v>
      </c>
      <c r="C120">
        <v>5.2</v>
      </c>
      <c r="D120">
        <v>2.2999999999999998</v>
      </c>
      <c r="E120" s="3" t="s">
        <v>7</v>
      </c>
      <c r="J120" s="2">
        <f>POWER(J$4-A120,2)</f>
        <v>0.81000000000000061</v>
      </c>
      <c r="K120" s="2">
        <f>POWER(K$4-B120,2)</f>
        <v>1</v>
      </c>
      <c r="L120" s="2">
        <f>POWER(L$4-C120,2)</f>
        <v>16</v>
      </c>
      <c r="M120" s="2">
        <f>POWER(M$4-D120,2)</f>
        <v>4.4099999999999984</v>
      </c>
      <c r="N120" s="7">
        <f t="shared" si="7"/>
        <v>4.7138094997570699</v>
      </c>
      <c r="O120" s="2">
        <f>POWER(O$4-A120,2)</f>
        <v>1.2100000000000011</v>
      </c>
      <c r="P120" s="2">
        <f>POWER(P$4-B120,2)</f>
        <v>0</v>
      </c>
      <c r="Q120" s="2">
        <f>POWER(Q$4-C120,2)</f>
        <v>0.49000000000000027</v>
      </c>
      <c r="R120" s="2">
        <f>POWER(R$4-D120,2)</f>
        <v>0.63999999999999968</v>
      </c>
      <c r="S120" s="7">
        <f t="shared" si="8"/>
        <v>1.5297058540778357</v>
      </c>
      <c r="T120" s="2">
        <f>POWER(T$4-A120,2)</f>
        <v>0.36000000000000065</v>
      </c>
      <c r="U120" s="2">
        <f>POWER(U$4-B120,2)</f>
        <v>0</v>
      </c>
      <c r="V120" s="2">
        <f>POWER(V$4-C120,2)</f>
        <v>8.99999999999999E-2</v>
      </c>
      <c r="W120" s="2">
        <f>POWER(W$4-D120,2)</f>
        <v>0.24999999999999978</v>
      </c>
      <c r="X120" s="7">
        <f t="shared" si="9"/>
        <v>0.83666002653407578</v>
      </c>
      <c r="Y120" s="9">
        <f t="shared" si="10"/>
        <v>0.83666002653407578</v>
      </c>
      <c r="Z120" t="str">
        <f>IF(Y120=N120,"C1",IF(Y120=S120,"C2",IF(Y120=X120,"C3")))</f>
        <v>C3</v>
      </c>
    </row>
    <row r="121" spans="1:26" x14ac:dyDescent="0.2">
      <c r="A121">
        <v>6.3</v>
      </c>
      <c r="B121">
        <v>2.5</v>
      </c>
      <c r="C121">
        <v>5</v>
      </c>
      <c r="D121">
        <v>1.9</v>
      </c>
      <c r="E121" s="3" t="s">
        <v>7</v>
      </c>
      <c r="J121" s="2">
        <f>POWER(J$4-A121,2)</f>
        <v>0.25</v>
      </c>
      <c r="K121" s="2">
        <f>POWER(K$4-B121,2)</f>
        <v>2.25</v>
      </c>
      <c r="L121" s="2">
        <f>POWER(L$4-C121,2)</f>
        <v>14.44</v>
      </c>
      <c r="M121" s="2">
        <f>POWER(M$4-D121,2)</f>
        <v>2.8899999999999997</v>
      </c>
      <c r="N121" s="7">
        <f t="shared" si="7"/>
        <v>4.4530888156424631</v>
      </c>
      <c r="O121" s="2">
        <f>POWER(O$4-A121,2)</f>
        <v>0.49000000000000027</v>
      </c>
      <c r="P121" s="2">
        <f>POWER(P$4-B121,2)</f>
        <v>0.25</v>
      </c>
      <c r="Q121" s="2">
        <f>POWER(Q$4-C121,2)</f>
        <v>0.25</v>
      </c>
      <c r="R121" s="2">
        <f>POWER(R$4-D121,2)</f>
        <v>0.15999999999999992</v>
      </c>
      <c r="S121" s="7">
        <f t="shared" si="8"/>
        <v>1.0723805294763609</v>
      </c>
      <c r="T121" s="2">
        <f>POWER(T$4-A121,2)</f>
        <v>4.000000000000007E-2</v>
      </c>
      <c r="U121" s="2">
        <f>POWER(U$4-B121,2)</f>
        <v>0.25</v>
      </c>
      <c r="V121" s="2">
        <f>POWER(V$4-C121,2)</f>
        <v>9.9999999999999291E-3</v>
      </c>
      <c r="W121" s="2">
        <f>POWER(W$4-D121,2)</f>
        <v>9.9999999999999742E-3</v>
      </c>
      <c r="X121" s="7">
        <f t="shared" si="9"/>
        <v>0.55677643628300222</v>
      </c>
      <c r="Y121" s="9">
        <f t="shared" si="10"/>
        <v>0.55677643628300222</v>
      </c>
      <c r="Z121" t="str">
        <f>IF(Y121=N121,"C1",IF(Y121=S121,"C2",IF(Y121=X121,"C3")))</f>
        <v>C3</v>
      </c>
    </row>
    <row r="122" spans="1:26" x14ac:dyDescent="0.2">
      <c r="A122">
        <v>6.5</v>
      </c>
      <c r="B122">
        <v>3</v>
      </c>
      <c r="C122">
        <v>5.2</v>
      </c>
      <c r="D122">
        <v>2</v>
      </c>
      <c r="E122" s="3" t="s">
        <v>7</v>
      </c>
      <c r="J122" s="2">
        <f>POWER(J$4-A122,2)</f>
        <v>0.49000000000000027</v>
      </c>
      <c r="K122" s="2">
        <f>POWER(K$4-B122,2)</f>
        <v>1</v>
      </c>
      <c r="L122" s="2">
        <f>POWER(L$4-C122,2)</f>
        <v>16</v>
      </c>
      <c r="M122" s="2">
        <f>POWER(M$4-D122,2)</f>
        <v>3.24</v>
      </c>
      <c r="N122" s="7">
        <f t="shared" si="7"/>
        <v>4.5530209751328847</v>
      </c>
      <c r="O122" s="2">
        <f>POWER(O$4-A122,2)</f>
        <v>0.81000000000000061</v>
      </c>
      <c r="P122" s="2">
        <f>POWER(P$4-B122,2)</f>
        <v>0</v>
      </c>
      <c r="Q122" s="2">
        <f>POWER(Q$4-C122,2)</f>
        <v>0.49000000000000027</v>
      </c>
      <c r="R122" s="2">
        <f>POWER(R$4-D122,2)</f>
        <v>0.25</v>
      </c>
      <c r="S122" s="7">
        <f t="shared" si="8"/>
        <v>1.2449899597988736</v>
      </c>
      <c r="T122" s="2">
        <f>POWER(T$4-A122,2)</f>
        <v>0.16000000000000028</v>
      </c>
      <c r="U122" s="2">
        <f>POWER(U$4-B122,2)</f>
        <v>0</v>
      </c>
      <c r="V122" s="2">
        <f>POWER(V$4-C122,2)</f>
        <v>8.99999999999999E-2</v>
      </c>
      <c r="W122" s="2">
        <f>POWER(W$4-D122,2)</f>
        <v>3.999999999999998E-2</v>
      </c>
      <c r="X122" s="7">
        <f t="shared" si="9"/>
        <v>0.53851648071345048</v>
      </c>
      <c r="Y122" s="9">
        <f t="shared" si="10"/>
        <v>0.53851648071345048</v>
      </c>
      <c r="Z122" t="str">
        <f>IF(Y122=N122,"C1",IF(Y122=S122,"C2",IF(Y122=X122,"C3")))</f>
        <v>C3</v>
      </c>
    </row>
    <row r="123" spans="1:26" x14ac:dyDescent="0.2">
      <c r="A123">
        <v>6.2</v>
      </c>
      <c r="B123">
        <v>3.4</v>
      </c>
      <c r="C123">
        <v>5.4</v>
      </c>
      <c r="D123">
        <v>2.2999999999999998</v>
      </c>
      <c r="E123" s="3" t="s">
        <v>7</v>
      </c>
      <c r="J123" s="2">
        <f>POWER(J$4-A123,2)</f>
        <v>0.16000000000000028</v>
      </c>
      <c r="K123" s="2">
        <f>POWER(K$4-B123,2)</f>
        <v>0.3600000000000001</v>
      </c>
      <c r="L123" s="2">
        <f>POWER(L$4-C123,2)</f>
        <v>17.64</v>
      </c>
      <c r="M123" s="2">
        <f>POWER(M$4-D123,2)</f>
        <v>4.4099999999999984</v>
      </c>
      <c r="N123" s="7">
        <f t="shared" si="7"/>
        <v>4.750789408087881</v>
      </c>
      <c r="O123" s="2">
        <f>POWER(O$4-A123,2)</f>
        <v>0.36000000000000065</v>
      </c>
      <c r="P123" s="2">
        <f>POWER(P$4-B123,2)</f>
        <v>0.15999999999999992</v>
      </c>
      <c r="Q123" s="2">
        <f>POWER(Q$4-C123,2)</f>
        <v>0.81000000000000061</v>
      </c>
      <c r="R123" s="2">
        <f>POWER(R$4-D123,2)</f>
        <v>0.63999999999999968</v>
      </c>
      <c r="S123" s="7">
        <f t="shared" si="8"/>
        <v>1.4035668847618203</v>
      </c>
      <c r="T123" s="2">
        <f>POWER(T$4-A123,2)</f>
        <v>1.0000000000000106E-2</v>
      </c>
      <c r="U123" s="2">
        <f>POWER(U$4-B123,2)</f>
        <v>0.15999999999999992</v>
      </c>
      <c r="V123" s="2">
        <f>POWER(V$4-C123,2)</f>
        <v>0.25</v>
      </c>
      <c r="W123" s="2">
        <f>POWER(W$4-D123,2)</f>
        <v>0.24999999999999978</v>
      </c>
      <c r="X123" s="7">
        <f t="shared" si="9"/>
        <v>0.81853527718724484</v>
      </c>
      <c r="Y123" s="9">
        <f t="shared" si="10"/>
        <v>0.81853527718724484</v>
      </c>
      <c r="Z123" t="str">
        <f>IF(Y123=N123,"C1",IF(Y123=S123,"C2",IF(Y123=X123,"C3")))</f>
        <v>C3</v>
      </c>
    </row>
    <row r="124" spans="1:26" x14ac:dyDescent="0.2">
      <c r="A124">
        <v>5.9</v>
      </c>
      <c r="B124">
        <v>3</v>
      </c>
      <c r="C124">
        <v>5.0999999999999996</v>
      </c>
      <c r="D124">
        <v>1.8</v>
      </c>
      <c r="E124" s="3" t="s">
        <v>7</v>
      </c>
      <c r="J124" s="2">
        <f>POWER(J$4-A124,2)</f>
        <v>1.0000000000000106E-2</v>
      </c>
      <c r="K124" s="2">
        <f>POWER(K$4-B124,2)</f>
        <v>1</v>
      </c>
      <c r="L124" s="2">
        <f>POWER(L$4-C124,2)</f>
        <v>15.209999999999996</v>
      </c>
      <c r="M124" s="2">
        <f>POWER(M$4-D124,2)</f>
        <v>2.5600000000000005</v>
      </c>
      <c r="N124" s="7">
        <f t="shared" si="7"/>
        <v>4.3335897360040896</v>
      </c>
      <c r="O124" s="2">
        <f>POWER(O$4-A124,2)</f>
        <v>9.0000000000000427E-2</v>
      </c>
      <c r="P124" s="2">
        <f>POWER(P$4-B124,2)</f>
        <v>0</v>
      </c>
      <c r="Q124" s="2">
        <f>POWER(Q$4-C124,2)</f>
        <v>0.3599999999999996</v>
      </c>
      <c r="R124" s="2">
        <f>POWER(R$4-D124,2)</f>
        <v>9.0000000000000024E-2</v>
      </c>
      <c r="S124" s="7">
        <f t="shared" si="8"/>
        <v>0.73484692283495345</v>
      </c>
      <c r="T124" s="2">
        <f>POWER(T$4-A124,2)</f>
        <v>3.9999999999999716E-2</v>
      </c>
      <c r="U124" s="2">
        <f>POWER(U$4-B124,2)</f>
        <v>0</v>
      </c>
      <c r="V124" s="2">
        <f>POWER(V$4-C124,2)</f>
        <v>3.9999999999999716E-2</v>
      </c>
      <c r="W124" s="2">
        <f>POWER(W$4-D124,2)</f>
        <v>0</v>
      </c>
      <c r="X124" s="7">
        <f t="shared" si="9"/>
        <v>0.28284271247461801</v>
      </c>
      <c r="Y124" s="9">
        <f t="shared" si="10"/>
        <v>0.28284271247461801</v>
      </c>
      <c r="Z124" t="str">
        <f>IF(Y124=N124,"C1",IF(Y124=S124,"C2",IF(Y124=X124,"C3")))</f>
        <v>C3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B005-DACF-424C-AF3E-B7B3DDBCEDB6}">
  <dimension ref="A1:BP124"/>
  <sheetViews>
    <sheetView tabSelected="1" topLeftCell="AW1" zoomScale="71" zoomScaleNormal="61" workbookViewId="0">
      <selection activeCell="BB11" sqref="BB11"/>
    </sheetView>
  </sheetViews>
  <sheetFormatPr baseColWidth="10" defaultRowHeight="16" x14ac:dyDescent="0.2"/>
  <cols>
    <col min="5" max="5" width="12.33203125" bestFit="1" customWidth="1"/>
    <col min="14" max="14" width="11.6640625" bestFit="1" customWidth="1"/>
  </cols>
  <sheetData>
    <row r="1" spans="1:68" x14ac:dyDescent="0.2">
      <c r="J1" t="s">
        <v>11</v>
      </c>
      <c r="O1" t="s">
        <v>12</v>
      </c>
      <c r="T1" t="s">
        <v>13</v>
      </c>
      <c r="Y1" t="s">
        <v>14</v>
      </c>
      <c r="AB1" t="s">
        <v>11</v>
      </c>
      <c r="AI1" t="s">
        <v>20</v>
      </c>
      <c r="AP1" t="s">
        <v>21</v>
      </c>
    </row>
    <row r="2" spans="1:68" x14ac:dyDescent="0.2">
      <c r="AA2" t="s">
        <v>22</v>
      </c>
      <c r="AB2" s="12">
        <f>AVERAGE(AB4:AB43)</f>
        <v>4.9850000000000012</v>
      </c>
      <c r="AC2" s="12">
        <f t="shared" ref="AC2:AE2" si="0">AVERAGE(AC4:AC43)</f>
        <v>3.4125000000000001</v>
      </c>
      <c r="AD2" s="12">
        <f t="shared" si="0"/>
        <v>1.4499999999999997</v>
      </c>
      <c r="AE2" s="12">
        <f t="shared" si="0"/>
        <v>0.24999999999999983</v>
      </c>
      <c r="AH2" t="s">
        <v>22</v>
      </c>
      <c r="AI2" s="12">
        <f>AVERAGE(AI4:AI43)</f>
        <v>5.6793103448275835</v>
      </c>
      <c r="AJ2" s="12">
        <f t="shared" ref="AJ2:AL2" si="1">AVERAGE(AJ4:AJ43)</f>
        <v>2.6689655172413795</v>
      </c>
      <c r="AK2" s="12">
        <f t="shared" si="1"/>
        <v>4.0862068965517242</v>
      </c>
      <c r="AL2" s="12">
        <f t="shared" si="1"/>
        <v>1.2620689655172412</v>
      </c>
      <c r="AO2" t="s">
        <v>22</v>
      </c>
      <c r="AP2" s="12">
        <f>AVERAGE(AP4:AP58)</f>
        <v>6.6196078431372509</v>
      </c>
      <c r="AQ2" s="12">
        <f>AVERAGE(AQ4:AQ58)</f>
        <v>2.9803921568627456</v>
      </c>
      <c r="AR2" s="12">
        <f t="shared" ref="AQ2:AS2" si="2">AVERAGE(AR4:AR58)</f>
        <v>5.3862745098039202</v>
      </c>
      <c r="AS2" s="12">
        <f t="shared" si="2"/>
        <v>1.8999999999999995</v>
      </c>
      <c r="AX2" t="s">
        <v>22</v>
      </c>
      <c r="AY2">
        <v>4.9850000000000012</v>
      </c>
      <c r="AZ2">
        <v>3.4125000000000001</v>
      </c>
      <c r="BA2">
        <v>1.4499999999999997</v>
      </c>
      <c r="BB2">
        <v>0.24999999999999983</v>
      </c>
      <c r="BE2" t="s">
        <v>22</v>
      </c>
      <c r="BF2">
        <v>5.5959999999999992</v>
      </c>
      <c r="BG2">
        <v>2.6559999999999997</v>
      </c>
      <c r="BH2">
        <v>4.016</v>
      </c>
      <c r="BI2">
        <v>1.24</v>
      </c>
      <c r="BL2" t="s">
        <v>22</v>
      </c>
      <c r="BM2">
        <v>6.5890909090909062</v>
      </c>
      <c r="BN2">
        <v>2.9636363636363647</v>
      </c>
      <c r="BO2">
        <v>5.3236363636363642</v>
      </c>
      <c r="BP2">
        <v>1.8636363636363631</v>
      </c>
    </row>
    <row r="3" spans="1:68" x14ac:dyDescent="0.2">
      <c r="J3" s="4" t="s">
        <v>0</v>
      </c>
      <c r="K3" s="4" t="s">
        <v>1</v>
      </c>
      <c r="L3" s="4" t="s">
        <v>2</v>
      </c>
      <c r="M3" s="4" t="s">
        <v>3</v>
      </c>
      <c r="O3" s="4" t="s">
        <v>0</v>
      </c>
      <c r="P3" s="4" t="s">
        <v>1</v>
      </c>
      <c r="Q3" s="4" t="s">
        <v>2</v>
      </c>
      <c r="R3" s="4" t="s">
        <v>3</v>
      </c>
      <c r="T3" s="4" t="s">
        <v>0</v>
      </c>
      <c r="U3" s="4" t="s">
        <v>1</v>
      </c>
      <c r="V3" s="4" t="s">
        <v>2</v>
      </c>
      <c r="W3" s="4" t="s">
        <v>3</v>
      </c>
      <c r="AB3" s="10" t="s">
        <v>0</v>
      </c>
      <c r="AC3" s="10" t="s">
        <v>1</v>
      </c>
      <c r="AD3" s="10" t="s">
        <v>2</v>
      </c>
      <c r="AE3" s="10" t="s">
        <v>3</v>
      </c>
      <c r="AF3" s="10" t="s">
        <v>4</v>
      </c>
      <c r="AG3" s="10" t="s">
        <v>19</v>
      </c>
      <c r="AI3" s="10" t="s">
        <v>0</v>
      </c>
      <c r="AJ3" s="10" t="s">
        <v>1</v>
      </c>
      <c r="AK3" s="10" t="s">
        <v>2</v>
      </c>
      <c r="AL3" s="10" t="s">
        <v>3</v>
      </c>
      <c r="AM3" s="10" t="s">
        <v>4</v>
      </c>
      <c r="AN3" s="10" t="s">
        <v>19</v>
      </c>
      <c r="AP3" s="10" t="s">
        <v>0</v>
      </c>
      <c r="AQ3" s="10" t="s">
        <v>1</v>
      </c>
      <c r="AR3" s="10" t="s">
        <v>2</v>
      </c>
      <c r="AS3" s="10" t="s">
        <v>3</v>
      </c>
      <c r="AT3" s="10" t="s">
        <v>4</v>
      </c>
      <c r="AU3" s="10" t="s">
        <v>19</v>
      </c>
      <c r="AX3" t="s">
        <v>22</v>
      </c>
      <c r="AY3">
        <v>4.9850000000000012</v>
      </c>
      <c r="AZ3">
        <v>3.4125000000000001</v>
      </c>
      <c r="BA3">
        <v>1.4499999999999997</v>
      </c>
      <c r="BB3">
        <v>0.24999999999999983</v>
      </c>
      <c r="BE3" t="s">
        <v>22</v>
      </c>
      <c r="BF3">
        <v>5.6793103448275835</v>
      </c>
      <c r="BG3">
        <v>2.6689655172413795</v>
      </c>
      <c r="BH3">
        <v>4.0862068965517242</v>
      </c>
      <c r="BI3">
        <v>1.2620689655172412</v>
      </c>
      <c r="BL3" t="s">
        <v>22</v>
      </c>
      <c r="BM3">
        <v>6.6196078431372509</v>
      </c>
      <c r="BN3">
        <v>2.9803921568627456</v>
      </c>
      <c r="BO3">
        <v>5.3862745098039202</v>
      </c>
      <c r="BP3">
        <v>1.8999999999999995</v>
      </c>
    </row>
    <row r="4" spans="1:68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G4" s="2" t="s">
        <v>8</v>
      </c>
      <c r="H4" s="1">
        <f>SQRT(COUNT(A5:A124))</f>
        <v>10.954451150103322</v>
      </c>
      <c r="J4" s="5">
        <v>4.9850000000000012</v>
      </c>
      <c r="K4" s="5">
        <v>3.4125000000000001</v>
      </c>
      <c r="L4" s="5">
        <v>1.4499999999999997</v>
      </c>
      <c r="M4" s="5">
        <v>0.24999999999999983</v>
      </c>
      <c r="N4" s="6" t="s">
        <v>10</v>
      </c>
      <c r="O4" s="5">
        <v>5.5959999999999992</v>
      </c>
      <c r="P4" s="5">
        <v>2.6559999999999997</v>
      </c>
      <c r="Q4" s="5">
        <v>4.016</v>
      </c>
      <c r="R4" s="5">
        <v>1.24</v>
      </c>
      <c r="S4" s="6" t="s">
        <v>10</v>
      </c>
      <c r="T4" s="5">
        <v>6.5890909090909062</v>
      </c>
      <c r="U4" s="5">
        <v>2.9636363636363647</v>
      </c>
      <c r="V4" s="5">
        <v>5.3236363636363642</v>
      </c>
      <c r="W4" s="5">
        <v>1.8636363636363631</v>
      </c>
      <c r="X4" s="6" t="s">
        <v>10</v>
      </c>
      <c r="Y4" s="8" t="s">
        <v>15</v>
      </c>
      <c r="Z4" t="s">
        <v>19</v>
      </c>
      <c r="AB4" s="10">
        <v>5.0999999999999996</v>
      </c>
      <c r="AC4" s="10">
        <v>3.5</v>
      </c>
      <c r="AD4" s="10">
        <v>1.4</v>
      </c>
      <c r="AE4" s="10">
        <v>0.2</v>
      </c>
      <c r="AF4" s="11" t="s">
        <v>5</v>
      </c>
      <c r="AG4" s="10" t="s">
        <v>16</v>
      </c>
      <c r="AI4" s="10">
        <v>5.2</v>
      </c>
      <c r="AJ4" s="10">
        <v>2.7</v>
      </c>
      <c r="AK4" s="10">
        <v>3.9</v>
      </c>
      <c r="AL4" s="10">
        <v>1.4</v>
      </c>
      <c r="AM4" s="11" t="s">
        <v>6</v>
      </c>
      <c r="AN4" s="10" t="s">
        <v>17</v>
      </c>
      <c r="AP4" s="10">
        <v>6.7</v>
      </c>
      <c r="AQ4" s="10">
        <v>3.1</v>
      </c>
      <c r="AR4" s="10">
        <v>4.4000000000000004</v>
      </c>
      <c r="AS4" s="10">
        <v>1.4</v>
      </c>
      <c r="AT4" s="11" t="s">
        <v>6</v>
      </c>
      <c r="AU4" s="10" t="s">
        <v>18</v>
      </c>
    </row>
    <row r="5" spans="1:68" x14ac:dyDescent="0.2">
      <c r="A5">
        <v>5.0999999999999996</v>
      </c>
      <c r="B5">
        <v>3.5</v>
      </c>
      <c r="C5">
        <v>1.4</v>
      </c>
      <c r="D5">
        <v>0.2</v>
      </c>
      <c r="E5" s="3" t="s">
        <v>5</v>
      </c>
      <c r="G5" s="2" t="s">
        <v>8</v>
      </c>
      <c r="H5" s="2">
        <v>3</v>
      </c>
      <c r="J5" s="2">
        <f>POWER(J$4-A5,2)</f>
        <v>1.322499999999964E-2</v>
      </c>
      <c r="K5" s="2">
        <f>POWER(K$4-B5,2)</f>
        <v>7.6562499999999842E-3</v>
      </c>
      <c r="L5" s="2">
        <f>POWER(L$4-C5,2)</f>
        <v>2.4999999999999823E-3</v>
      </c>
      <c r="M5" s="2">
        <f>POWER(M$4-D5,2)</f>
        <v>2.4999999999999823E-3</v>
      </c>
      <c r="N5" s="7">
        <f>SQRT(SUM(J5:M5))</f>
        <v>0.16087650543196041</v>
      </c>
      <c r="O5" s="2">
        <f>POWER(O$4-A5,2)</f>
        <v>0.24601599999999957</v>
      </c>
      <c r="P5" s="2">
        <f>POWER(P$4-B5,2)</f>
        <v>0.71233600000000052</v>
      </c>
      <c r="Q5" s="2">
        <f>POWER(Q$4-C5,2)</f>
        <v>6.8434560000000006</v>
      </c>
      <c r="R5" s="2">
        <f>POWER(R$4-D5,2)</f>
        <v>1.0816000000000001</v>
      </c>
      <c r="S5" s="7">
        <f>SQRT(SUM(O5:R5))</f>
        <v>2.9805046552555492</v>
      </c>
      <c r="T5" s="2">
        <f>POWER(T$4-A5,2)</f>
        <v>2.2173917355371824</v>
      </c>
      <c r="U5" s="2">
        <f>POWER(U$4-B5,2)</f>
        <v>0.28768595041322198</v>
      </c>
      <c r="V5" s="2">
        <f>POWER(V$4-C5,2)</f>
        <v>15.394922314049591</v>
      </c>
      <c r="W5" s="2">
        <f>POWER(W$4-D5,2)</f>
        <v>2.7676859504132216</v>
      </c>
      <c r="X5" s="7">
        <f>SQRT(SUM(T5:W5))</f>
        <v>4.5461726705453254</v>
      </c>
      <c r="Y5" s="9">
        <f>MIN(N5,S5,X5)</f>
        <v>0.16087650543196041</v>
      </c>
      <c r="Z5" t="str">
        <f>IF(Y5=N5,"C1",IF(Y5=S5,"C2",IF(Y5=X5,"C3")))</f>
        <v>C1</v>
      </c>
      <c r="AB5" s="10">
        <v>4.9000000000000004</v>
      </c>
      <c r="AC5" s="10">
        <v>3</v>
      </c>
      <c r="AD5" s="10">
        <v>1.4</v>
      </c>
      <c r="AE5" s="10">
        <v>0.2</v>
      </c>
      <c r="AF5" s="11" t="s">
        <v>5</v>
      </c>
      <c r="AG5" s="10" t="s">
        <v>16</v>
      </c>
      <c r="AI5" s="10">
        <v>5</v>
      </c>
      <c r="AJ5" s="10">
        <v>2</v>
      </c>
      <c r="AK5" s="10">
        <v>3.5</v>
      </c>
      <c r="AL5" s="10">
        <v>1</v>
      </c>
      <c r="AM5" s="11" t="s">
        <v>6</v>
      </c>
      <c r="AN5" s="10" t="s">
        <v>17</v>
      </c>
      <c r="AP5" s="10">
        <v>7</v>
      </c>
      <c r="AQ5" s="10">
        <v>3.2</v>
      </c>
      <c r="AR5" s="10">
        <v>4.7</v>
      </c>
      <c r="AS5" s="10">
        <v>1.4</v>
      </c>
      <c r="AT5" s="11" t="s">
        <v>6</v>
      </c>
      <c r="AU5" s="10" t="s">
        <v>18</v>
      </c>
    </row>
    <row r="6" spans="1:68" x14ac:dyDescent="0.2">
      <c r="A6">
        <v>4.9000000000000004</v>
      </c>
      <c r="B6">
        <v>3</v>
      </c>
      <c r="C6">
        <v>1.4</v>
      </c>
      <c r="D6">
        <v>0.2</v>
      </c>
      <c r="E6" s="3" t="s">
        <v>5</v>
      </c>
      <c r="J6" s="2">
        <f>POWER(J$4-A6,2)</f>
        <v>7.2250000000001454E-3</v>
      </c>
      <c r="K6" s="2">
        <f>POWER(K$4-B6,2)</f>
        <v>0.17015625000000006</v>
      </c>
      <c r="L6" s="2">
        <f>POWER(L$4-C6,2)</f>
        <v>2.4999999999999823E-3</v>
      </c>
      <c r="M6" s="2">
        <f>POWER(M$4-D6,2)</f>
        <v>2.4999999999999823E-3</v>
      </c>
      <c r="N6" s="7">
        <f t="shared" ref="N6:N69" si="3">SQRT(SUM(J6:M6))</f>
        <v>0.42706117828713974</v>
      </c>
      <c r="O6" s="2">
        <f>POWER(O$4-A6,2)</f>
        <v>0.4844159999999984</v>
      </c>
      <c r="P6" s="2">
        <f>POWER(P$4-B6,2)</f>
        <v>0.1183360000000002</v>
      </c>
      <c r="Q6" s="2">
        <f>POWER(Q$4-C6,2)</f>
        <v>6.8434560000000006</v>
      </c>
      <c r="R6" s="2">
        <f>POWER(R$4-D6,2)</f>
        <v>1.0816000000000001</v>
      </c>
      <c r="S6" s="7">
        <f t="shared" ref="S6:S69" si="4">SQRT(SUM(O6:R6))</f>
        <v>2.9202410859379402</v>
      </c>
      <c r="T6" s="2">
        <f>POWER(T$4-A6,2)</f>
        <v>2.8530280991735428</v>
      </c>
      <c r="U6" s="2">
        <f>POWER(U$4-B6,2)</f>
        <v>1.3223140495866969E-3</v>
      </c>
      <c r="V6" s="2">
        <f>POWER(V$4-C6,2)</f>
        <v>15.394922314049591</v>
      </c>
      <c r="W6" s="2">
        <f>POWER(W$4-D6,2)</f>
        <v>2.7676859504132216</v>
      </c>
      <c r="X6" s="7">
        <f t="shared" ref="X6:X69" si="5">SQRT(SUM(T6:W6))</f>
        <v>4.5844256649754875</v>
      </c>
      <c r="Y6" s="9">
        <f t="shared" ref="Y6:Y69" si="6">MIN(N6,S6,X6)</f>
        <v>0.42706117828713974</v>
      </c>
      <c r="Z6" t="str">
        <f t="shared" ref="Z6:Z11" si="7">IF(Y6=N6,"C1",IF(Y6=S6,"C2",IF(Y6=X6,"C3")))</f>
        <v>C1</v>
      </c>
      <c r="AB6" s="10">
        <v>4.7</v>
      </c>
      <c r="AC6" s="10">
        <v>3.2</v>
      </c>
      <c r="AD6" s="10">
        <v>1.3</v>
      </c>
      <c r="AE6" s="10">
        <v>0.2</v>
      </c>
      <c r="AF6" s="11" t="s">
        <v>5</v>
      </c>
      <c r="AG6" s="10" t="s">
        <v>16</v>
      </c>
      <c r="AI6" s="10">
        <v>5.9</v>
      </c>
      <c r="AJ6" s="10">
        <v>3</v>
      </c>
      <c r="AK6" s="10">
        <v>4.2</v>
      </c>
      <c r="AL6" s="10">
        <v>1.5</v>
      </c>
      <c r="AM6" s="11" t="s">
        <v>6</v>
      </c>
      <c r="AN6" s="10" t="s">
        <v>17</v>
      </c>
      <c r="AP6" s="10">
        <v>6.4</v>
      </c>
      <c r="AQ6" s="10">
        <v>3.2</v>
      </c>
      <c r="AR6" s="10">
        <v>4.5</v>
      </c>
      <c r="AS6" s="10">
        <v>1.5</v>
      </c>
      <c r="AT6" s="11" t="s">
        <v>6</v>
      </c>
      <c r="AU6" s="10" t="s">
        <v>18</v>
      </c>
    </row>
    <row r="7" spans="1:68" x14ac:dyDescent="0.2">
      <c r="A7">
        <v>4.7</v>
      </c>
      <c r="B7">
        <v>3.2</v>
      </c>
      <c r="C7">
        <v>1.3</v>
      </c>
      <c r="D7">
        <v>0.2</v>
      </c>
      <c r="E7" s="3" t="s">
        <v>5</v>
      </c>
      <c r="J7" s="2">
        <f>POWER(J$4-A7,2)</f>
        <v>8.1225000000000588E-2</v>
      </c>
      <c r="K7" s="2">
        <f>POWER(K$4-B7,2)</f>
        <v>4.515624999999996E-2</v>
      </c>
      <c r="L7" s="2">
        <f>POWER(L$4-C7,2)</f>
        <v>2.2499999999999905E-2</v>
      </c>
      <c r="M7" s="2">
        <f>POWER(M$4-D7,2)</f>
        <v>2.4999999999999823E-3</v>
      </c>
      <c r="N7" s="7">
        <f t="shared" si="3"/>
        <v>0.3890774344523214</v>
      </c>
      <c r="O7" s="2">
        <f>POWER(O$4-A7,2)</f>
        <v>0.8028159999999982</v>
      </c>
      <c r="P7" s="2">
        <f>POWER(P$4-B7,2)</f>
        <v>0.29593600000000053</v>
      </c>
      <c r="Q7" s="2">
        <f>POWER(Q$4-C7,2)</f>
        <v>7.3766560000000014</v>
      </c>
      <c r="R7" s="2">
        <f>POWER(R$4-D7,2)</f>
        <v>1.0816000000000001</v>
      </c>
      <c r="S7" s="7">
        <f t="shared" si="4"/>
        <v>3.0914410879070622</v>
      </c>
      <c r="T7" s="2">
        <f>POWER(T$4-A7,2)</f>
        <v>3.568664462809906</v>
      </c>
      <c r="U7" s="2">
        <f>POWER(U$4-B7,2)</f>
        <v>5.586776859504089E-2</v>
      </c>
      <c r="V7" s="2">
        <f>POWER(V$4-C7,2)</f>
        <v>16.189649586776866</v>
      </c>
      <c r="W7" s="2">
        <f>POWER(W$4-D7,2)</f>
        <v>2.7676859504132216</v>
      </c>
      <c r="X7" s="7">
        <f t="shared" si="5"/>
        <v>4.7520382751609898</v>
      </c>
      <c r="Y7" s="9">
        <f t="shared" si="6"/>
        <v>0.3890774344523214</v>
      </c>
      <c r="Z7" t="str">
        <f t="shared" si="7"/>
        <v>C1</v>
      </c>
      <c r="AB7" s="10">
        <v>4.5999999999999996</v>
      </c>
      <c r="AC7" s="10">
        <v>3.1</v>
      </c>
      <c r="AD7" s="10">
        <v>1.5</v>
      </c>
      <c r="AE7" s="10">
        <v>0.2</v>
      </c>
      <c r="AF7" s="11" t="s">
        <v>5</v>
      </c>
      <c r="AG7" s="10" t="s">
        <v>16</v>
      </c>
      <c r="AI7" s="10">
        <v>6</v>
      </c>
      <c r="AJ7" s="10">
        <v>2.2000000000000002</v>
      </c>
      <c r="AK7" s="10">
        <v>4</v>
      </c>
      <c r="AL7" s="10">
        <v>1</v>
      </c>
      <c r="AM7" s="11" t="s">
        <v>6</v>
      </c>
      <c r="AN7" s="10" t="s">
        <v>17</v>
      </c>
      <c r="AP7" s="10">
        <v>6.9</v>
      </c>
      <c r="AQ7" s="10">
        <v>3.1</v>
      </c>
      <c r="AR7" s="10">
        <v>4.9000000000000004</v>
      </c>
      <c r="AS7" s="10">
        <v>1.5</v>
      </c>
      <c r="AT7" s="11" t="s">
        <v>6</v>
      </c>
      <c r="AU7" s="10" t="s">
        <v>18</v>
      </c>
    </row>
    <row r="8" spans="1:68" x14ac:dyDescent="0.2">
      <c r="A8">
        <v>4.5999999999999996</v>
      </c>
      <c r="B8">
        <v>3.1</v>
      </c>
      <c r="C8">
        <v>1.5</v>
      </c>
      <c r="D8">
        <v>0.2</v>
      </c>
      <c r="E8" s="3" t="s">
        <v>5</v>
      </c>
      <c r="J8" s="2">
        <f>POWER(J$4-A8,2)</f>
        <v>0.14822500000000122</v>
      </c>
      <c r="K8" s="2">
        <f>POWER(K$4-B8,2)</f>
        <v>9.765625E-2</v>
      </c>
      <c r="L8" s="2">
        <f>POWER(L$4-C8,2)</f>
        <v>2.5000000000000265E-3</v>
      </c>
      <c r="M8" s="2">
        <f>POWER(M$4-D8,2)</f>
        <v>2.4999999999999823E-3</v>
      </c>
      <c r="N8" s="7">
        <f t="shared" si="3"/>
        <v>0.50088047476419084</v>
      </c>
      <c r="O8" s="2">
        <f>POWER(O$4-A8,2)</f>
        <v>0.99201599999999912</v>
      </c>
      <c r="P8" s="2">
        <f>POWER(P$4-B8,2)</f>
        <v>0.19713600000000034</v>
      </c>
      <c r="Q8" s="2">
        <f>POWER(Q$4-C8,2)</f>
        <v>6.3302560000000003</v>
      </c>
      <c r="R8" s="2">
        <f>POWER(R$4-D8,2)</f>
        <v>1.0816000000000001</v>
      </c>
      <c r="S8" s="7">
        <f t="shared" si="4"/>
        <v>2.9327475172609048</v>
      </c>
      <c r="T8" s="2">
        <f>POWER(T$4-A8,2)</f>
        <v>3.956482644628089</v>
      </c>
      <c r="U8" s="2">
        <f>POWER(U$4-B8,2)</f>
        <v>1.8595041322313776E-2</v>
      </c>
      <c r="V8" s="2">
        <f>POWER(V$4-C8,2)</f>
        <v>14.620195041322319</v>
      </c>
      <c r="W8" s="2">
        <f>POWER(W$4-D8,2)</f>
        <v>2.7676859504132216</v>
      </c>
      <c r="X8" s="7">
        <f t="shared" si="5"/>
        <v>4.6220080784963953</v>
      </c>
      <c r="Y8" s="9">
        <f t="shared" si="6"/>
        <v>0.50088047476419084</v>
      </c>
      <c r="Z8" t="str">
        <f t="shared" si="7"/>
        <v>C1</v>
      </c>
      <c r="AB8" s="10">
        <v>5</v>
      </c>
      <c r="AC8" s="10">
        <v>3.6</v>
      </c>
      <c r="AD8" s="10">
        <v>1.4</v>
      </c>
      <c r="AE8" s="10">
        <v>0.2</v>
      </c>
      <c r="AF8" s="11" t="s">
        <v>5</v>
      </c>
      <c r="AG8" s="10" t="s">
        <v>16</v>
      </c>
      <c r="AI8" s="10">
        <v>6.1</v>
      </c>
      <c r="AJ8" s="10">
        <v>2.9</v>
      </c>
      <c r="AK8" s="10">
        <v>4.7</v>
      </c>
      <c r="AL8" s="10">
        <v>1.4</v>
      </c>
      <c r="AM8" s="11" t="s">
        <v>6</v>
      </c>
      <c r="AN8" s="10" t="s">
        <v>17</v>
      </c>
      <c r="AP8" s="10">
        <v>6.5</v>
      </c>
      <c r="AQ8" s="10">
        <v>2.8</v>
      </c>
      <c r="AR8" s="10">
        <v>4.5999999999999996</v>
      </c>
      <c r="AS8" s="10">
        <v>1.5</v>
      </c>
      <c r="AT8" s="11" t="s">
        <v>6</v>
      </c>
      <c r="AU8" s="10" t="s">
        <v>18</v>
      </c>
    </row>
    <row r="9" spans="1:68" x14ac:dyDescent="0.2">
      <c r="A9">
        <v>5</v>
      </c>
      <c r="B9">
        <v>3.6</v>
      </c>
      <c r="C9">
        <v>1.4</v>
      </c>
      <c r="D9">
        <v>0.2</v>
      </c>
      <c r="E9" s="3" t="s">
        <v>5</v>
      </c>
      <c r="J9" s="2">
        <f>POWER(J$4-A9,2)</f>
        <v>2.2499999999996375E-4</v>
      </c>
      <c r="K9" s="2">
        <f>POWER(K$4-B9,2)</f>
        <v>3.515625E-2</v>
      </c>
      <c r="L9" s="2">
        <f>POWER(L$4-C9,2)</f>
        <v>2.4999999999999823E-3</v>
      </c>
      <c r="M9" s="2">
        <f>POWER(M$4-D9,2)</f>
        <v>2.4999999999999823E-3</v>
      </c>
      <c r="N9" s="7">
        <f t="shared" si="3"/>
        <v>0.20095086464108564</v>
      </c>
      <c r="O9" s="2">
        <f>POWER(O$4-A9,2)</f>
        <v>0.35521599999999903</v>
      </c>
      <c r="P9" s="2">
        <f>POWER(P$4-B9,2)</f>
        <v>0.89113600000000071</v>
      </c>
      <c r="Q9" s="2">
        <f>POWER(Q$4-C9,2)</f>
        <v>6.8434560000000006</v>
      </c>
      <c r="R9" s="2">
        <f>POWER(R$4-D9,2)</f>
        <v>1.0816000000000001</v>
      </c>
      <c r="S9" s="7">
        <f t="shared" si="4"/>
        <v>3.0284332583037057</v>
      </c>
      <c r="T9" s="2">
        <f>POWER(T$4-A9,2)</f>
        <v>2.5252099173553626</v>
      </c>
      <c r="U9" s="2">
        <f>POWER(U$4-B9,2)</f>
        <v>0.40495867768594912</v>
      </c>
      <c r="V9" s="2">
        <f>POWER(V$4-C9,2)</f>
        <v>15.394922314049591</v>
      </c>
      <c r="W9" s="2">
        <f>POWER(W$4-D9,2)</f>
        <v>2.7676859504132216</v>
      </c>
      <c r="X9" s="7">
        <f t="shared" si="5"/>
        <v>4.5926873243781925</v>
      </c>
      <c r="Y9" s="9">
        <f t="shared" si="6"/>
        <v>0.20095086464108564</v>
      </c>
      <c r="Z9" t="str">
        <f t="shared" si="7"/>
        <v>C1</v>
      </c>
      <c r="AB9" s="10">
        <v>5.4</v>
      </c>
      <c r="AC9" s="10">
        <v>3.9</v>
      </c>
      <c r="AD9" s="10">
        <v>1.7</v>
      </c>
      <c r="AE9" s="10">
        <v>0.4</v>
      </c>
      <c r="AF9" s="11" t="s">
        <v>5</v>
      </c>
      <c r="AG9" s="10" t="s">
        <v>16</v>
      </c>
      <c r="AI9" s="10">
        <v>5.6</v>
      </c>
      <c r="AJ9" s="10">
        <v>2.9</v>
      </c>
      <c r="AK9" s="10">
        <v>3.6</v>
      </c>
      <c r="AL9" s="10">
        <v>1.3</v>
      </c>
      <c r="AM9" s="11" t="s">
        <v>6</v>
      </c>
      <c r="AN9" s="10" t="s">
        <v>17</v>
      </c>
      <c r="AP9" s="10">
        <v>6.3</v>
      </c>
      <c r="AQ9" s="10">
        <v>3.3</v>
      </c>
      <c r="AR9" s="10">
        <v>4.7</v>
      </c>
      <c r="AS9" s="10">
        <v>1.6</v>
      </c>
      <c r="AT9" s="11" t="s">
        <v>6</v>
      </c>
      <c r="AU9" s="10" t="s">
        <v>18</v>
      </c>
    </row>
    <row r="10" spans="1:68" x14ac:dyDescent="0.2">
      <c r="A10">
        <v>5.4</v>
      </c>
      <c r="B10">
        <v>3.9</v>
      </c>
      <c r="C10">
        <v>1.7</v>
      </c>
      <c r="D10">
        <v>0.4</v>
      </c>
      <c r="E10" s="3" t="s">
        <v>5</v>
      </c>
      <c r="G10" t="s">
        <v>9</v>
      </c>
      <c r="J10" s="2">
        <f>POWER(J$4-A10,2)</f>
        <v>0.1722249999999993</v>
      </c>
      <c r="K10" s="2">
        <f>POWER(K$4-B10,2)</f>
        <v>0.23765624999999982</v>
      </c>
      <c r="L10" s="2">
        <f>POWER(L$4-C10,2)</f>
        <v>6.2500000000000111E-2</v>
      </c>
      <c r="M10" s="2">
        <f>POWER(M$4-D10,2)</f>
        <v>2.2500000000000058E-2</v>
      </c>
      <c r="N10" s="7">
        <f t="shared" si="3"/>
        <v>0.70347796696129672</v>
      </c>
      <c r="O10" s="2">
        <f>POWER(O$4-A10,2)</f>
        <v>3.8415999999999548E-2</v>
      </c>
      <c r="P10" s="2">
        <f>POWER(P$4-B10,2)</f>
        <v>1.5475360000000005</v>
      </c>
      <c r="Q10" s="2">
        <f>POWER(Q$4-C10,2)</f>
        <v>5.3638559999999993</v>
      </c>
      <c r="R10" s="2">
        <f>POWER(R$4-D10,2)</f>
        <v>0.70559999999999989</v>
      </c>
      <c r="S10" s="7">
        <f t="shared" si="4"/>
        <v>2.7668407977330389</v>
      </c>
      <c r="T10" s="2">
        <f>POWER(T$4-A10,2)</f>
        <v>1.413937190082637</v>
      </c>
      <c r="U10" s="2">
        <f>POWER(U$4-B10,2)</f>
        <v>0.87677685950412998</v>
      </c>
      <c r="V10" s="2">
        <f>POWER(V$4-C10,2)</f>
        <v>13.130740495867771</v>
      </c>
      <c r="W10" s="2">
        <f>POWER(W$4-D10,2)</f>
        <v>2.1422314049586757</v>
      </c>
      <c r="X10" s="7">
        <f t="shared" si="5"/>
        <v>4.1909051469119669</v>
      </c>
      <c r="Y10" s="9">
        <f t="shared" si="6"/>
        <v>0.70347796696129672</v>
      </c>
      <c r="Z10" t="str">
        <f t="shared" si="7"/>
        <v>C1</v>
      </c>
      <c r="AB10" s="10">
        <v>4.5999999999999996</v>
      </c>
      <c r="AC10" s="10">
        <v>3.4</v>
      </c>
      <c r="AD10" s="10">
        <v>1.4</v>
      </c>
      <c r="AE10" s="10">
        <v>0.3</v>
      </c>
      <c r="AF10" s="11" t="s">
        <v>5</v>
      </c>
      <c r="AG10" s="10" t="s">
        <v>16</v>
      </c>
      <c r="AI10" s="10">
        <v>5.5</v>
      </c>
      <c r="AJ10" s="10">
        <v>2.2999999999999998</v>
      </c>
      <c r="AK10" s="10">
        <v>4</v>
      </c>
      <c r="AL10" s="10">
        <v>1.3</v>
      </c>
      <c r="AM10" s="11" t="s">
        <v>6</v>
      </c>
      <c r="AN10" s="10" t="s">
        <v>17</v>
      </c>
      <c r="AP10" s="10">
        <v>6.6</v>
      </c>
      <c r="AQ10" s="10">
        <v>2.9</v>
      </c>
      <c r="AR10" s="10">
        <v>4.5999999999999996</v>
      </c>
      <c r="AS10" s="10">
        <v>1.3</v>
      </c>
      <c r="AT10" s="11" t="s">
        <v>6</v>
      </c>
      <c r="AU10" s="10" t="s">
        <v>18</v>
      </c>
    </row>
    <row r="11" spans="1:68" x14ac:dyDescent="0.2">
      <c r="A11">
        <v>4.5999999999999996</v>
      </c>
      <c r="B11">
        <v>3.4</v>
      </c>
      <c r="C11">
        <v>1.4</v>
      </c>
      <c r="D11">
        <v>0.3</v>
      </c>
      <c r="E11" s="3" t="s">
        <v>5</v>
      </c>
      <c r="J11" s="2">
        <f>POWER(J$4-A11,2)</f>
        <v>0.14822500000000122</v>
      </c>
      <c r="K11" s="2">
        <f>POWER(K$4-B11,2)</f>
        <v>1.5625000000000445E-4</v>
      </c>
      <c r="L11" s="2">
        <f>POWER(L$4-C11,2)</f>
        <v>2.4999999999999823E-3</v>
      </c>
      <c r="M11" s="2">
        <f>POWER(M$4-D11,2)</f>
        <v>2.5000000000000157E-3</v>
      </c>
      <c r="N11" s="7">
        <f t="shared" si="3"/>
        <v>0.39163918343291593</v>
      </c>
      <c r="O11" s="2">
        <f>POWER(O$4-A11,2)</f>
        <v>0.99201599999999912</v>
      </c>
      <c r="P11" s="2">
        <f>POWER(P$4-B11,2)</f>
        <v>0.55353600000000036</v>
      </c>
      <c r="Q11" s="2">
        <f>POWER(Q$4-C11,2)</f>
        <v>6.8434560000000006</v>
      </c>
      <c r="R11" s="2">
        <f>POWER(R$4-D11,2)</f>
        <v>0.88359999999999994</v>
      </c>
      <c r="S11" s="7">
        <f t="shared" si="4"/>
        <v>3.0450957292013006</v>
      </c>
      <c r="T11" s="2">
        <f>POWER(T$4-A11,2)</f>
        <v>3.956482644628089</v>
      </c>
      <c r="U11" s="2">
        <f>POWER(U$4-B11,2)</f>
        <v>0.19041322314049483</v>
      </c>
      <c r="V11" s="2">
        <f>POWER(V$4-C11,2)</f>
        <v>15.394922314049591</v>
      </c>
      <c r="W11" s="2">
        <f>POWER(W$4-D11,2)</f>
        <v>2.4449586776859484</v>
      </c>
      <c r="X11" s="7">
        <f t="shared" si="5"/>
        <v>4.6890059564372626</v>
      </c>
      <c r="Y11" s="9">
        <f t="shared" si="6"/>
        <v>0.39163918343291593</v>
      </c>
      <c r="Z11" t="str">
        <f t="shared" si="7"/>
        <v>C1</v>
      </c>
      <c r="AB11" s="10">
        <v>5.8</v>
      </c>
      <c r="AC11" s="10">
        <v>4</v>
      </c>
      <c r="AD11" s="10">
        <v>1.2</v>
      </c>
      <c r="AE11" s="10">
        <v>0.2</v>
      </c>
      <c r="AF11" s="11" t="s">
        <v>5</v>
      </c>
      <c r="AG11" s="10" t="s">
        <v>16</v>
      </c>
      <c r="AI11" s="10">
        <v>5.7</v>
      </c>
      <c r="AJ11" s="10">
        <v>2.8</v>
      </c>
      <c r="AK11" s="10">
        <v>4.5</v>
      </c>
      <c r="AL11" s="10">
        <v>1.3</v>
      </c>
      <c r="AM11" s="11" t="s">
        <v>6</v>
      </c>
      <c r="AN11" s="10" t="s">
        <v>17</v>
      </c>
      <c r="AP11" s="10">
        <v>7.3</v>
      </c>
      <c r="AQ11" s="10">
        <v>2.9</v>
      </c>
      <c r="AR11" s="10">
        <v>6.3</v>
      </c>
      <c r="AS11" s="10">
        <v>1.8</v>
      </c>
      <c r="AT11" s="11" t="s">
        <v>7</v>
      </c>
      <c r="AU11" s="10" t="s">
        <v>18</v>
      </c>
    </row>
    <row r="12" spans="1:68" x14ac:dyDescent="0.2">
      <c r="A12">
        <v>5.2</v>
      </c>
      <c r="B12">
        <v>2.7</v>
      </c>
      <c r="C12">
        <v>3.9</v>
      </c>
      <c r="D12">
        <v>1.4</v>
      </c>
      <c r="E12" s="3" t="s">
        <v>6</v>
      </c>
      <c r="J12" s="2">
        <f>POWER(J$4-A12,2)</f>
        <v>4.6224999999999558E-2</v>
      </c>
      <c r="K12" s="2">
        <f>POWER(K$4-B12,2)</f>
        <v>0.50765624999999992</v>
      </c>
      <c r="L12" s="2">
        <f>POWER(L$4-C12,2)</f>
        <v>6.0025000000000013</v>
      </c>
      <c r="M12" s="2">
        <f>POWER(M$4-D12,2)</f>
        <v>1.3225000000000002</v>
      </c>
      <c r="N12" s="7">
        <f t="shared" si="3"/>
        <v>2.806934493357478</v>
      </c>
      <c r="O12" s="2">
        <f>POWER(O$4-A12,2)</f>
        <v>0.15681599999999923</v>
      </c>
      <c r="P12" s="2">
        <f>POWER(P$4-B12,2)</f>
        <v>1.9360000000000425E-3</v>
      </c>
      <c r="Q12" s="2">
        <f>POWER(Q$4-C12,2)</f>
        <v>1.3456000000000023E-2</v>
      </c>
      <c r="R12" s="2">
        <f>POWER(R$4-D12,2)</f>
        <v>2.5599999999999973E-2</v>
      </c>
      <c r="S12" s="7">
        <f t="shared" si="4"/>
        <v>0.44475611294281192</v>
      </c>
      <c r="T12" s="2">
        <f>POWER(T$4-A12,2)</f>
        <v>1.9295735537189997</v>
      </c>
      <c r="U12" s="2">
        <f>POWER(U$4-B12,2)</f>
        <v>6.9504132231405447E-2</v>
      </c>
      <c r="V12" s="2">
        <f>POWER(V$4-C12,2)</f>
        <v>2.0267404958677702</v>
      </c>
      <c r="W12" s="2">
        <f>POWER(W$4-D12,2)</f>
        <v>0.21495867768594998</v>
      </c>
      <c r="X12" s="7">
        <f t="shared" si="5"/>
        <v>2.0593146577208947</v>
      </c>
      <c r="Y12" s="9">
        <f t="shared" si="6"/>
        <v>0.44475611294281192</v>
      </c>
      <c r="Z12" t="str">
        <f>IF(Y12=N12,"C1",IF(Y12=S12,"C2",IF(Y12=X12,"C3")))</f>
        <v>C2</v>
      </c>
      <c r="AB12" s="10">
        <v>5.7</v>
      </c>
      <c r="AC12" s="10">
        <v>4.4000000000000004</v>
      </c>
      <c r="AD12" s="10">
        <v>1.5</v>
      </c>
      <c r="AE12" s="10">
        <v>0.4</v>
      </c>
      <c r="AF12" s="11" t="s">
        <v>5</v>
      </c>
      <c r="AG12" s="10" t="s">
        <v>16</v>
      </c>
      <c r="AI12" s="10">
        <v>4.9000000000000004</v>
      </c>
      <c r="AJ12" s="10">
        <v>2.4</v>
      </c>
      <c r="AK12" s="10">
        <v>3.3</v>
      </c>
      <c r="AL12" s="10">
        <v>1</v>
      </c>
      <c r="AM12" s="11" t="s">
        <v>6</v>
      </c>
      <c r="AN12" s="10" t="s">
        <v>17</v>
      </c>
      <c r="AP12" s="10">
        <v>6.7</v>
      </c>
      <c r="AQ12" s="10">
        <v>2.5</v>
      </c>
      <c r="AR12" s="10">
        <v>5.8</v>
      </c>
      <c r="AS12" s="10">
        <v>1.8</v>
      </c>
      <c r="AT12" s="11" t="s">
        <v>7</v>
      </c>
      <c r="AU12" s="10" t="s">
        <v>18</v>
      </c>
    </row>
    <row r="13" spans="1:68" x14ac:dyDescent="0.2">
      <c r="A13">
        <v>5</v>
      </c>
      <c r="B13">
        <v>2</v>
      </c>
      <c r="C13">
        <v>3.5</v>
      </c>
      <c r="D13">
        <v>1</v>
      </c>
      <c r="E13" s="3" t="s">
        <v>6</v>
      </c>
      <c r="J13" s="2">
        <f>POWER(J$4-A13,2)</f>
        <v>2.2499999999996375E-4</v>
      </c>
      <c r="K13" s="2">
        <f>POWER(K$4-B13,2)</f>
        <v>1.9951562500000002</v>
      </c>
      <c r="L13" s="2">
        <f>POWER(L$4-C13,2)</f>
        <v>4.2025000000000015</v>
      </c>
      <c r="M13" s="2">
        <f>POWER(M$4-D13,2)</f>
        <v>0.56250000000000033</v>
      </c>
      <c r="N13" s="7">
        <f t="shared" si="3"/>
        <v>2.6000733162739857</v>
      </c>
      <c r="O13" s="2">
        <f>POWER(O$4-A13,2)</f>
        <v>0.35521599999999903</v>
      </c>
      <c r="P13" s="2">
        <f>POWER(P$4-B13,2)</f>
        <v>0.43033599999999961</v>
      </c>
      <c r="Q13" s="2">
        <f>POWER(Q$4-C13,2)</f>
        <v>0.26625599999999999</v>
      </c>
      <c r="R13" s="2">
        <f>POWER(R$4-D13,2)</f>
        <v>5.7599999999999998E-2</v>
      </c>
      <c r="S13" s="7">
        <f t="shared" si="4"/>
        <v>1.0532843870484356</v>
      </c>
      <c r="T13" s="2">
        <f>POWER(T$4-A13,2)</f>
        <v>2.5252099173553626</v>
      </c>
      <c r="U13" s="2">
        <f>POWER(U$4-B13,2)</f>
        <v>0.92859504132231618</v>
      </c>
      <c r="V13" s="2">
        <f>POWER(V$4-C13,2)</f>
        <v>3.3256495867768616</v>
      </c>
      <c r="W13" s="2">
        <f>POWER(W$4-D13,2)</f>
        <v>0.74586776859504034</v>
      </c>
      <c r="X13" s="7">
        <f t="shared" si="5"/>
        <v>2.7432320926326268</v>
      </c>
      <c r="Y13" s="9">
        <f t="shared" si="6"/>
        <v>1.0532843870484356</v>
      </c>
      <c r="Z13" t="str">
        <f>IF(Y13=N13,"C1",IF(Y13=S13,"C2",IF(Y13=X13,"C3")))</f>
        <v>C2</v>
      </c>
      <c r="AB13" s="10">
        <v>5.4</v>
      </c>
      <c r="AC13" s="10">
        <v>3.9</v>
      </c>
      <c r="AD13" s="10">
        <v>1.3</v>
      </c>
      <c r="AE13" s="10">
        <v>0.4</v>
      </c>
      <c r="AF13" s="11" t="s">
        <v>5</v>
      </c>
      <c r="AG13" s="10" t="s">
        <v>16</v>
      </c>
      <c r="AI13" s="10">
        <v>4.9000000000000004</v>
      </c>
      <c r="AJ13" s="10">
        <v>2.5</v>
      </c>
      <c r="AK13" s="10">
        <v>4.5</v>
      </c>
      <c r="AL13" s="10">
        <v>1.7</v>
      </c>
      <c r="AM13" s="11" t="s">
        <v>7</v>
      </c>
      <c r="AN13" s="10" t="s">
        <v>17</v>
      </c>
      <c r="AP13" s="10">
        <v>7.2</v>
      </c>
      <c r="AQ13" s="10">
        <v>3.6</v>
      </c>
      <c r="AR13" s="10">
        <v>6.1</v>
      </c>
      <c r="AS13" s="10">
        <v>2.5</v>
      </c>
      <c r="AT13" s="11" t="s">
        <v>7</v>
      </c>
      <c r="AU13" s="10" t="s">
        <v>18</v>
      </c>
    </row>
    <row r="14" spans="1:68" x14ac:dyDescent="0.2">
      <c r="A14">
        <v>5.9</v>
      </c>
      <c r="B14">
        <v>3</v>
      </c>
      <c r="C14">
        <v>4.2</v>
      </c>
      <c r="D14">
        <v>1.5</v>
      </c>
      <c r="E14" s="3" t="s">
        <v>6</v>
      </c>
      <c r="J14" s="2">
        <f>POWER(J$4-A14,2)</f>
        <v>0.83722499999999844</v>
      </c>
      <c r="K14" s="2">
        <f>POWER(K$4-B14,2)</f>
        <v>0.17015625000000006</v>
      </c>
      <c r="L14" s="2">
        <f>POWER(L$4-C14,2)</f>
        <v>7.5625000000000027</v>
      </c>
      <c r="M14" s="2">
        <f>POWER(M$4-D14,2)</f>
        <v>1.5625000000000007</v>
      </c>
      <c r="N14" s="7">
        <f t="shared" si="3"/>
        <v>3.1831401555696539</v>
      </c>
      <c r="O14" s="2">
        <f>POWER(O$4-A14,2)</f>
        <v>9.2416000000000706E-2</v>
      </c>
      <c r="P14" s="2">
        <f>POWER(P$4-B14,2)</f>
        <v>0.1183360000000002</v>
      </c>
      <c r="Q14" s="2">
        <f>POWER(Q$4-C14,2)</f>
        <v>3.385600000000006E-2</v>
      </c>
      <c r="R14" s="2">
        <f>POWER(R$4-D14,2)</f>
        <v>6.7600000000000007E-2</v>
      </c>
      <c r="S14" s="7">
        <f t="shared" si="4"/>
        <v>0.55875576059670384</v>
      </c>
      <c r="T14" s="2">
        <f>POWER(T$4-A14,2)</f>
        <v>0.4748462809917311</v>
      </c>
      <c r="U14" s="2">
        <f>POWER(U$4-B14,2)</f>
        <v>1.3223140495866969E-3</v>
      </c>
      <c r="V14" s="2">
        <f>POWER(V$4-C14,2)</f>
        <v>1.2625586776859512</v>
      </c>
      <c r="W14" s="2">
        <f>POWER(W$4-D14,2)</f>
        <v>0.1322314049586773</v>
      </c>
      <c r="X14" s="7">
        <f t="shared" si="5"/>
        <v>1.3678299154814337</v>
      </c>
      <c r="Y14" s="9">
        <f t="shared" si="6"/>
        <v>0.55875576059670384</v>
      </c>
      <c r="Z14" t="str">
        <f>IF(Y14=N14,"C1",IF(Y14=S14,"C2",IF(Y14=X14,"C3")))</f>
        <v>C2</v>
      </c>
      <c r="AB14" s="10">
        <v>5.0999999999999996</v>
      </c>
      <c r="AC14" s="10">
        <v>3.5</v>
      </c>
      <c r="AD14" s="10">
        <v>1.4</v>
      </c>
      <c r="AE14" s="10">
        <v>0.3</v>
      </c>
      <c r="AF14" s="11" t="s">
        <v>5</v>
      </c>
      <c r="AG14" s="10" t="s">
        <v>16</v>
      </c>
      <c r="AI14" s="10">
        <v>5.6</v>
      </c>
      <c r="AJ14" s="10">
        <v>3</v>
      </c>
      <c r="AK14" s="10">
        <v>4.5</v>
      </c>
      <c r="AL14" s="10">
        <v>1.5</v>
      </c>
      <c r="AM14" s="11" t="s">
        <v>6</v>
      </c>
      <c r="AN14" s="10" t="s">
        <v>17</v>
      </c>
      <c r="AP14" s="10">
        <v>6.5</v>
      </c>
      <c r="AQ14" s="10">
        <v>3.2</v>
      </c>
      <c r="AR14" s="10">
        <v>5.0999999999999996</v>
      </c>
      <c r="AS14" s="10">
        <v>2</v>
      </c>
      <c r="AT14" s="11" t="s">
        <v>7</v>
      </c>
      <c r="AU14" s="10" t="s">
        <v>18</v>
      </c>
    </row>
    <row r="15" spans="1:68" x14ac:dyDescent="0.2">
      <c r="A15">
        <v>6</v>
      </c>
      <c r="B15">
        <v>2.2000000000000002</v>
      </c>
      <c r="C15">
        <v>4</v>
      </c>
      <c r="D15">
        <v>1</v>
      </c>
      <c r="E15" s="3" t="s">
        <v>6</v>
      </c>
      <c r="J15" s="2">
        <f>POWER(J$4-A15,2)</f>
        <v>1.0302249999999975</v>
      </c>
      <c r="K15" s="2">
        <f>POWER(K$4-B15,2)</f>
        <v>1.4701562499999998</v>
      </c>
      <c r="L15" s="2">
        <f>POWER(L$4-C15,2)</f>
        <v>6.5025000000000013</v>
      </c>
      <c r="M15" s="2">
        <f>POWER(M$4-D15,2)</f>
        <v>0.56250000000000033</v>
      </c>
      <c r="N15" s="7">
        <f t="shared" si="3"/>
        <v>3.0927950546390877</v>
      </c>
      <c r="O15" s="2">
        <f>POWER(O$4-A15,2)</f>
        <v>0.16321600000000064</v>
      </c>
      <c r="P15" s="2">
        <f>POWER(P$4-B15,2)</f>
        <v>0.20793599999999957</v>
      </c>
      <c r="Q15" s="2">
        <f>POWER(Q$4-C15,2)</f>
        <v>2.5600000000000048E-4</v>
      </c>
      <c r="R15" s="2">
        <f>POWER(R$4-D15,2)</f>
        <v>5.7599999999999998E-2</v>
      </c>
      <c r="S15" s="7">
        <f t="shared" si="4"/>
        <v>0.65498702277220744</v>
      </c>
      <c r="T15" s="2">
        <f>POWER(T$4-A15,2)</f>
        <v>0.34702809917355032</v>
      </c>
      <c r="U15" s="2">
        <f>POWER(U$4-B15,2)</f>
        <v>0.58314049586776995</v>
      </c>
      <c r="V15" s="2">
        <f>POWER(V$4-C15,2)</f>
        <v>1.7520132231404972</v>
      </c>
      <c r="W15" s="2">
        <f>POWER(W$4-D15,2)</f>
        <v>0.74586776859504034</v>
      </c>
      <c r="X15" s="7">
        <f t="shared" si="5"/>
        <v>1.8514992807929627</v>
      </c>
      <c r="Y15" s="9">
        <f t="shared" si="6"/>
        <v>0.65498702277220744</v>
      </c>
      <c r="Z15" t="str">
        <f>IF(Y15=N15,"C1",IF(Y15=S15,"C2",IF(Y15=X15,"C3")))</f>
        <v>C2</v>
      </c>
      <c r="AB15" s="10">
        <v>5.7</v>
      </c>
      <c r="AC15" s="10">
        <v>3.8</v>
      </c>
      <c r="AD15" s="10">
        <v>1.7</v>
      </c>
      <c r="AE15" s="10">
        <v>0.3</v>
      </c>
      <c r="AF15" s="11" t="s">
        <v>5</v>
      </c>
      <c r="AG15" s="10" t="s">
        <v>16</v>
      </c>
      <c r="AI15" s="10">
        <v>5.8</v>
      </c>
      <c r="AJ15" s="10">
        <v>2.7</v>
      </c>
      <c r="AK15" s="10">
        <v>4.0999999999999996</v>
      </c>
      <c r="AL15" s="10">
        <v>1</v>
      </c>
      <c r="AM15" s="11" t="s">
        <v>6</v>
      </c>
      <c r="AN15" s="10" t="s">
        <v>17</v>
      </c>
      <c r="AP15" s="10">
        <v>6.4</v>
      </c>
      <c r="AQ15" s="10">
        <v>2.7</v>
      </c>
      <c r="AR15" s="10">
        <v>5.3</v>
      </c>
      <c r="AS15" s="10">
        <v>1.9</v>
      </c>
      <c r="AT15" s="11" t="s">
        <v>7</v>
      </c>
      <c r="AU15" s="10" t="s">
        <v>18</v>
      </c>
    </row>
    <row r="16" spans="1:68" x14ac:dyDescent="0.2">
      <c r="A16">
        <v>6.1</v>
      </c>
      <c r="B16">
        <v>2.9</v>
      </c>
      <c r="C16">
        <v>4.7</v>
      </c>
      <c r="D16">
        <v>1.4</v>
      </c>
      <c r="E16" s="3" t="s">
        <v>6</v>
      </c>
      <c r="J16" s="2">
        <f>POWER(J$4-A16,2)</f>
        <v>1.2432249999999965</v>
      </c>
      <c r="K16" s="2">
        <f>POWER(K$4-B16,2)</f>
        <v>0.2626562500000002</v>
      </c>
      <c r="L16" s="2">
        <f>POWER(L$4-C16,2)</f>
        <v>10.562500000000004</v>
      </c>
      <c r="M16" s="2">
        <f>POWER(M$4-D16,2)</f>
        <v>1.3225000000000002</v>
      </c>
      <c r="N16" s="7">
        <f t="shared" si="3"/>
        <v>3.6593553052416214</v>
      </c>
      <c r="O16" s="2">
        <f>POWER(O$4-A16,2)</f>
        <v>0.25401600000000046</v>
      </c>
      <c r="P16" s="2">
        <f>POWER(P$4-B16,2)</f>
        <v>5.9536000000000103E-2</v>
      </c>
      <c r="Q16" s="2">
        <f>POWER(Q$4-C16,2)</f>
        <v>0.46785600000000022</v>
      </c>
      <c r="R16" s="2">
        <f>POWER(R$4-D16,2)</f>
        <v>2.5599999999999973E-2</v>
      </c>
      <c r="S16" s="7">
        <f t="shared" si="4"/>
        <v>0.89833623994582379</v>
      </c>
      <c r="T16" s="2">
        <f>POWER(T$4-A16,2)</f>
        <v>0.23920991735536945</v>
      </c>
      <c r="U16" s="2">
        <f>POWER(U$4-B16,2)</f>
        <v>4.0495867768596556E-3</v>
      </c>
      <c r="V16" s="2">
        <f>POWER(V$4-C16,2)</f>
        <v>0.38892231404958721</v>
      </c>
      <c r="W16" s="2">
        <f>POWER(W$4-D16,2)</f>
        <v>0.21495867768594998</v>
      </c>
      <c r="X16" s="7">
        <f t="shared" si="5"/>
        <v>0.92040235542276094</v>
      </c>
      <c r="Y16" s="9">
        <f t="shared" si="6"/>
        <v>0.89833623994582379</v>
      </c>
      <c r="Z16" t="str">
        <f>IF(Y16=N16,"C1",IF(Y16=S16,"C2",IF(Y16=X16,"C3")))</f>
        <v>C2</v>
      </c>
      <c r="AB16" s="10">
        <v>5.0999999999999996</v>
      </c>
      <c r="AC16" s="10">
        <v>3.8</v>
      </c>
      <c r="AD16" s="10">
        <v>1.5</v>
      </c>
      <c r="AE16" s="10">
        <v>0.3</v>
      </c>
      <c r="AF16" s="11" t="s">
        <v>5</v>
      </c>
      <c r="AG16" s="10" t="s">
        <v>16</v>
      </c>
      <c r="AI16" s="10">
        <v>6.2</v>
      </c>
      <c r="AJ16" s="10">
        <v>2.2000000000000002</v>
      </c>
      <c r="AK16" s="10">
        <v>4.5</v>
      </c>
      <c r="AL16" s="10">
        <v>1.5</v>
      </c>
      <c r="AM16" s="11" t="s">
        <v>6</v>
      </c>
      <c r="AN16" s="10" t="s">
        <v>17</v>
      </c>
      <c r="AP16" s="10">
        <v>6.8</v>
      </c>
      <c r="AQ16" s="10">
        <v>3</v>
      </c>
      <c r="AR16" s="10">
        <v>5.5</v>
      </c>
      <c r="AS16" s="10">
        <v>2.1</v>
      </c>
      <c r="AT16" s="11" t="s">
        <v>7</v>
      </c>
      <c r="AU16" s="10" t="s">
        <v>18</v>
      </c>
    </row>
    <row r="17" spans="1:47" x14ac:dyDescent="0.2">
      <c r="A17">
        <v>5.6</v>
      </c>
      <c r="B17">
        <v>2.9</v>
      </c>
      <c r="C17">
        <v>3.6</v>
      </c>
      <c r="D17">
        <v>1.3</v>
      </c>
      <c r="E17" s="3" t="s">
        <v>6</v>
      </c>
      <c r="J17" s="2">
        <f>POWER(J$4-A17,2)</f>
        <v>0.37822499999999809</v>
      </c>
      <c r="K17" s="2">
        <f>POWER(K$4-B17,2)</f>
        <v>0.2626562500000002</v>
      </c>
      <c r="L17" s="2">
        <f>POWER(L$4-C17,2)</f>
        <v>4.6225000000000014</v>
      </c>
      <c r="M17" s="2">
        <f>POWER(M$4-D17,2)</f>
        <v>1.1025000000000005</v>
      </c>
      <c r="N17" s="7">
        <f t="shared" si="3"/>
        <v>2.5230698068028166</v>
      </c>
      <c r="O17" s="2">
        <f>POWER(O$4-A17,2)</f>
        <v>1.6000000000003581E-5</v>
      </c>
      <c r="P17" s="2">
        <f>POWER(P$4-B17,2)</f>
        <v>5.9536000000000103E-2</v>
      </c>
      <c r="Q17" s="2">
        <f>POWER(Q$4-C17,2)</f>
        <v>0.17305599999999993</v>
      </c>
      <c r="R17" s="2">
        <f>POWER(R$4-D17,2)</f>
        <v>3.6000000000000064E-3</v>
      </c>
      <c r="S17" s="7">
        <f t="shared" si="4"/>
        <v>0.48601234552221001</v>
      </c>
      <c r="T17" s="2">
        <f>POWER(T$4-A17,2)</f>
        <v>0.97830082644627603</v>
      </c>
      <c r="U17" s="2">
        <f>POWER(U$4-B17,2)</f>
        <v>4.0495867768596556E-3</v>
      </c>
      <c r="V17" s="2">
        <f>POWER(V$4-C17,2)</f>
        <v>2.9709223140495884</v>
      </c>
      <c r="W17" s="2">
        <f>POWER(W$4-D17,2)</f>
        <v>0.31768595041322245</v>
      </c>
      <c r="X17" s="7">
        <f t="shared" si="5"/>
        <v>2.0666297872831376</v>
      </c>
      <c r="Y17" s="9">
        <f t="shared" si="6"/>
        <v>0.48601234552221001</v>
      </c>
      <c r="Z17" t="str">
        <f>IF(Y17=N17,"C1",IF(Y17=S17,"C2",IF(Y17=X17,"C3")))</f>
        <v>C2</v>
      </c>
      <c r="AB17" s="10">
        <v>5.4</v>
      </c>
      <c r="AC17" s="10">
        <v>3.4</v>
      </c>
      <c r="AD17" s="10">
        <v>1.7</v>
      </c>
      <c r="AE17" s="10">
        <v>0.2</v>
      </c>
      <c r="AF17" s="11" t="s">
        <v>5</v>
      </c>
      <c r="AG17" s="10" t="s">
        <v>16</v>
      </c>
      <c r="AI17" s="10">
        <v>5.6</v>
      </c>
      <c r="AJ17" s="10">
        <v>2.5</v>
      </c>
      <c r="AK17" s="10">
        <v>3.9</v>
      </c>
      <c r="AL17" s="10">
        <v>1.1000000000000001</v>
      </c>
      <c r="AM17" s="11" t="s">
        <v>6</v>
      </c>
      <c r="AN17" s="10" t="s">
        <v>17</v>
      </c>
      <c r="AP17" s="10">
        <v>5.9</v>
      </c>
      <c r="AQ17" s="10">
        <v>3.2</v>
      </c>
      <c r="AR17" s="10">
        <v>4.8</v>
      </c>
      <c r="AS17" s="10">
        <v>1.8</v>
      </c>
      <c r="AT17" s="11" t="s">
        <v>6</v>
      </c>
      <c r="AU17" s="10" t="s">
        <v>18</v>
      </c>
    </row>
    <row r="18" spans="1:47" x14ac:dyDescent="0.2">
      <c r="A18">
        <v>6.7</v>
      </c>
      <c r="B18">
        <v>3.1</v>
      </c>
      <c r="C18">
        <v>4.4000000000000004</v>
      </c>
      <c r="D18">
        <v>1.4</v>
      </c>
      <c r="E18" s="3" t="s">
        <v>6</v>
      </c>
      <c r="J18" s="2">
        <f>POWER(J$4-A18,2)</f>
        <v>2.9412249999999966</v>
      </c>
      <c r="K18" s="2">
        <f>POWER(K$4-B18,2)</f>
        <v>9.765625E-2</v>
      </c>
      <c r="L18" s="2">
        <f>POWER(L$4-C18,2)</f>
        <v>8.7025000000000041</v>
      </c>
      <c r="M18" s="2">
        <f>POWER(M$4-D18,2)</f>
        <v>1.3225000000000002</v>
      </c>
      <c r="N18" s="7">
        <f t="shared" si="3"/>
        <v>3.614399154769711</v>
      </c>
      <c r="O18" s="2">
        <f>POWER(O$4-A18,2)</f>
        <v>1.2188160000000021</v>
      </c>
      <c r="P18" s="2">
        <f>POWER(P$4-B18,2)</f>
        <v>0.19713600000000034</v>
      </c>
      <c r="Q18" s="2">
        <f>POWER(Q$4-C18,2)</f>
        <v>0.14745600000000025</v>
      </c>
      <c r="R18" s="2">
        <f>POWER(R$4-D18,2)</f>
        <v>2.5599999999999973E-2</v>
      </c>
      <c r="S18" s="7">
        <f t="shared" si="4"/>
        <v>1.2605586063329237</v>
      </c>
      <c r="T18" s="2">
        <f>POWER(T$4-A18,2)</f>
        <v>1.2300826446281667E-2</v>
      </c>
      <c r="U18" s="2">
        <f>POWER(U$4-B18,2)</f>
        <v>1.8595041322313776E-2</v>
      </c>
      <c r="V18" s="2">
        <f>POWER(V$4-C18,2)</f>
        <v>0.85310413223140524</v>
      </c>
      <c r="W18" s="2">
        <f>POWER(W$4-D18,2)</f>
        <v>0.21495867768594998</v>
      </c>
      <c r="X18" s="7">
        <f t="shared" si="5"/>
        <v>1.0483122996922007</v>
      </c>
      <c r="Y18" s="9">
        <f t="shared" si="6"/>
        <v>1.0483122996922007</v>
      </c>
      <c r="Z18" t="str">
        <f>IF(Y18=N18,"C1",IF(Y18=S18,"C2",IF(Y18=X18,"C3")))</f>
        <v>C3</v>
      </c>
      <c r="AB18" s="10">
        <v>5.0999999999999996</v>
      </c>
      <c r="AC18" s="10">
        <v>3.7</v>
      </c>
      <c r="AD18" s="10">
        <v>1.5</v>
      </c>
      <c r="AE18" s="10">
        <v>0.4</v>
      </c>
      <c r="AF18" s="11" t="s">
        <v>5</v>
      </c>
      <c r="AG18" s="10" t="s">
        <v>16</v>
      </c>
      <c r="AI18" s="10">
        <v>6.1</v>
      </c>
      <c r="AJ18" s="10">
        <v>2.8</v>
      </c>
      <c r="AK18" s="10">
        <v>4</v>
      </c>
      <c r="AL18" s="10">
        <v>1.3</v>
      </c>
      <c r="AM18" s="11" t="s">
        <v>6</v>
      </c>
      <c r="AN18" s="10" t="s">
        <v>17</v>
      </c>
      <c r="AP18" s="10">
        <v>6.3</v>
      </c>
      <c r="AQ18" s="10">
        <v>2.5</v>
      </c>
      <c r="AR18" s="10">
        <v>4.9000000000000004</v>
      </c>
      <c r="AS18" s="10">
        <v>1.5</v>
      </c>
      <c r="AT18" s="11" t="s">
        <v>6</v>
      </c>
      <c r="AU18" s="10" t="s">
        <v>18</v>
      </c>
    </row>
    <row r="19" spans="1:47" x14ac:dyDescent="0.2">
      <c r="A19">
        <v>5.8</v>
      </c>
      <c r="B19">
        <v>4</v>
      </c>
      <c r="C19">
        <v>1.2</v>
      </c>
      <c r="D19">
        <v>0.2</v>
      </c>
      <c r="E19" s="3" t="s">
        <v>5</v>
      </c>
      <c r="J19" s="2">
        <f>POWER(J$4-A19,2)</f>
        <v>0.66422499999999773</v>
      </c>
      <c r="K19" s="2">
        <f>POWER(K$4-B19,2)</f>
        <v>0.34515624999999989</v>
      </c>
      <c r="L19" s="2">
        <f>POWER(L$4-C19,2)</f>
        <v>6.2499999999999889E-2</v>
      </c>
      <c r="M19" s="2">
        <f>POWER(M$4-D19,2)</f>
        <v>2.4999999999999823E-3</v>
      </c>
      <c r="N19" s="7">
        <f t="shared" si="3"/>
        <v>1.0365236369711968</v>
      </c>
      <c r="O19" s="2">
        <f>POWER(O$4-A19,2)</f>
        <v>4.1616000000000257E-2</v>
      </c>
      <c r="P19" s="2">
        <f>POWER(P$4-B19,2)</f>
        <v>1.8063360000000008</v>
      </c>
      <c r="Q19" s="2">
        <f>POWER(Q$4-C19,2)</f>
        <v>7.9298559999999991</v>
      </c>
      <c r="R19" s="2">
        <f>POWER(R$4-D19,2)</f>
        <v>1.0816000000000001</v>
      </c>
      <c r="S19" s="7">
        <f t="shared" si="4"/>
        <v>3.2953615886576091</v>
      </c>
      <c r="T19" s="2">
        <f>POWER(T$4-A19,2)</f>
        <v>0.62266446280991306</v>
      </c>
      <c r="U19" s="2">
        <f>POWER(U$4-B19,2)</f>
        <v>1.0740495867768571</v>
      </c>
      <c r="V19" s="2">
        <f>POWER(V$4-C19,2)</f>
        <v>17.004376859504134</v>
      </c>
      <c r="W19" s="2">
        <f>POWER(W$4-D19,2)</f>
        <v>2.7676859504132216</v>
      </c>
      <c r="X19" s="7">
        <f t="shared" si="5"/>
        <v>4.6334411466537615</v>
      </c>
      <c r="Y19" s="9">
        <f t="shared" si="6"/>
        <v>1.0365236369711968</v>
      </c>
      <c r="Z19" t="str">
        <f>IF(Y19=N19,"C1",IF(Y19=S19,"C2",IF(Y19=X19,"C3")))</f>
        <v>C1</v>
      </c>
      <c r="AB19" s="10">
        <v>4.5999999999999996</v>
      </c>
      <c r="AC19" s="10">
        <v>3.6</v>
      </c>
      <c r="AD19" s="10">
        <v>1</v>
      </c>
      <c r="AE19" s="10">
        <v>0.2</v>
      </c>
      <c r="AF19" s="11" t="s">
        <v>5</v>
      </c>
      <c r="AG19" s="10" t="s">
        <v>16</v>
      </c>
      <c r="AI19" s="10">
        <v>6.1</v>
      </c>
      <c r="AJ19" s="10">
        <v>2.8</v>
      </c>
      <c r="AK19" s="10">
        <v>4.7</v>
      </c>
      <c r="AL19" s="10">
        <v>1.2</v>
      </c>
      <c r="AM19" s="11" t="s">
        <v>6</v>
      </c>
      <c r="AN19" s="10" t="s">
        <v>17</v>
      </c>
      <c r="AP19" s="10">
        <v>6.6</v>
      </c>
      <c r="AQ19" s="10">
        <v>3</v>
      </c>
      <c r="AR19" s="10">
        <v>4.4000000000000004</v>
      </c>
      <c r="AS19" s="10">
        <v>1.4</v>
      </c>
      <c r="AT19" s="11" t="s">
        <v>6</v>
      </c>
      <c r="AU19" s="10" t="s">
        <v>18</v>
      </c>
    </row>
    <row r="20" spans="1:47" x14ac:dyDescent="0.2">
      <c r="A20">
        <v>5.7</v>
      </c>
      <c r="B20">
        <v>4.4000000000000004</v>
      </c>
      <c r="C20">
        <v>1.5</v>
      </c>
      <c r="D20">
        <v>0.4</v>
      </c>
      <c r="E20" s="3" t="s">
        <v>5</v>
      </c>
      <c r="J20" s="2">
        <f>POWER(J$4-A20,2)</f>
        <v>0.51122499999999849</v>
      </c>
      <c r="K20" s="2">
        <f>POWER(K$4-B20,2)</f>
        <v>0.9751562500000005</v>
      </c>
      <c r="L20" s="2">
        <f>POWER(L$4-C20,2)</f>
        <v>2.5000000000000265E-3</v>
      </c>
      <c r="M20" s="2">
        <f>POWER(M$4-D20,2)</f>
        <v>2.2500000000000058E-2</v>
      </c>
      <c r="N20" s="7">
        <f t="shared" si="3"/>
        <v>1.2293824669320768</v>
      </c>
      <c r="O20" s="2">
        <f>POWER(O$4-A20,2)</f>
        <v>1.0816000000000204E-2</v>
      </c>
      <c r="P20" s="2">
        <f>POWER(P$4-B20,2)</f>
        <v>3.0415360000000025</v>
      </c>
      <c r="Q20" s="2">
        <f>POWER(Q$4-C20,2)</f>
        <v>6.3302560000000003</v>
      </c>
      <c r="R20" s="2">
        <f>POWER(R$4-D20,2)</f>
        <v>0.70559999999999989</v>
      </c>
      <c r="S20" s="7">
        <f t="shared" si="4"/>
        <v>3.176193948738018</v>
      </c>
      <c r="T20" s="2">
        <f>POWER(T$4-A20,2)</f>
        <v>0.79048264462809381</v>
      </c>
      <c r="U20" s="2">
        <f>POWER(U$4-B20,2)</f>
        <v>2.0631404958677666</v>
      </c>
      <c r="V20" s="2">
        <f>POWER(V$4-C20,2)</f>
        <v>14.620195041322319</v>
      </c>
      <c r="W20" s="2">
        <f>POWER(W$4-D20,2)</f>
        <v>2.1422314049586757</v>
      </c>
      <c r="X20" s="7">
        <f t="shared" si="5"/>
        <v>4.4290009693808887</v>
      </c>
      <c r="Y20" s="9">
        <f t="shared" si="6"/>
        <v>1.2293824669320768</v>
      </c>
      <c r="Z20" t="str">
        <f>IF(Y20=N20,"C1",IF(Y20=S20,"C2",IF(Y20=X20,"C3")))</f>
        <v>C1</v>
      </c>
      <c r="AB20" s="10">
        <v>5.0999999999999996</v>
      </c>
      <c r="AC20" s="10">
        <v>3.3</v>
      </c>
      <c r="AD20" s="10">
        <v>1.7</v>
      </c>
      <c r="AE20" s="10">
        <v>0.5</v>
      </c>
      <c r="AF20" s="11" t="s">
        <v>5</v>
      </c>
      <c r="AG20" s="10" t="s">
        <v>16</v>
      </c>
      <c r="AI20" s="10">
        <v>6.4</v>
      </c>
      <c r="AJ20" s="10">
        <v>2.9</v>
      </c>
      <c r="AK20" s="10">
        <v>4.3</v>
      </c>
      <c r="AL20" s="10">
        <v>1.3</v>
      </c>
      <c r="AM20" s="11" t="s">
        <v>6</v>
      </c>
      <c r="AN20" s="10" t="s">
        <v>17</v>
      </c>
      <c r="AP20" s="10">
        <v>6.8</v>
      </c>
      <c r="AQ20" s="10">
        <v>2.8</v>
      </c>
      <c r="AR20" s="10">
        <v>4.8</v>
      </c>
      <c r="AS20" s="10">
        <v>1.4</v>
      </c>
      <c r="AT20" s="11" t="s">
        <v>6</v>
      </c>
      <c r="AU20" s="10" t="s">
        <v>18</v>
      </c>
    </row>
    <row r="21" spans="1:47" x14ac:dyDescent="0.2">
      <c r="A21">
        <v>5.4</v>
      </c>
      <c r="B21">
        <v>3.9</v>
      </c>
      <c r="C21">
        <v>1.3</v>
      </c>
      <c r="D21">
        <v>0.4</v>
      </c>
      <c r="E21" s="3" t="s">
        <v>5</v>
      </c>
      <c r="J21" s="2">
        <f>POWER(J$4-A21,2)</f>
        <v>0.1722249999999993</v>
      </c>
      <c r="K21" s="2">
        <f>POWER(K$4-B21,2)</f>
        <v>0.23765624999999982</v>
      </c>
      <c r="L21" s="2">
        <f>POWER(L$4-C21,2)</f>
        <v>2.2499999999999905E-2</v>
      </c>
      <c r="M21" s="2">
        <f>POWER(M$4-D21,2)</f>
        <v>2.2500000000000058E-2</v>
      </c>
      <c r="N21" s="7">
        <f t="shared" si="3"/>
        <v>0.67444884906121616</v>
      </c>
      <c r="O21" s="2">
        <f>POWER(O$4-A21,2)</f>
        <v>3.8415999999999548E-2</v>
      </c>
      <c r="P21" s="2">
        <f>POWER(P$4-B21,2)</f>
        <v>1.5475360000000005</v>
      </c>
      <c r="Q21" s="2">
        <f>POWER(Q$4-C21,2)</f>
        <v>7.3766560000000014</v>
      </c>
      <c r="R21" s="2">
        <f>POWER(R$4-D21,2)</f>
        <v>0.70559999999999989</v>
      </c>
      <c r="S21" s="7">
        <f t="shared" si="4"/>
        <v>3.1093742135677398</v>
      </c>
      <c r="T21" s="2">
        <f>POWER(T$4-A21,2)</f>
        <v>1.413937190082637</v>
      </c>
      <c r="U21" s="2">
        <f>POWER(U$4-B21,2)</f>
        <v>0.87677685950412998</v>
      </c>
      <c r="V21" s="2">
        <f>POWER(V$4-C21,2)</f>
        <v>16.189649586776866</v>
      </c>
      <c r="W21" s="2">
        <f>POWER(W$4-D21,2)</f>
        <v>2.1422314049586757</v>
      </c>
      <c r="X21" s="7">
        <f t="shared" si="5"/>
        <v>4.5412107461911857</v>
      </c>
      <c r="Y21" s="9">
        <f t="shared" si="6"/>
        <v>0.67444884906121616</v>
      </c>
      <c r="Z21" t="str">
        <f>IF(Y21=N21,"C1",IF(Y21=S21,"C2",IF(Y21=X21,"C3")))</f>
        <v>C1</v>
      </c>
      <c r="AB21" s="10">
        <v>4.8</v>
      </c>
      <c r="AC21" s="10">
        <v>3.4</v>
      </c>
      <c r="AD21" s="10">
        <v>1.9</v>
      </c>
      <c r="AE21" s="10">
        <v>0.2</v>
      </c>
      <c r="AF21" s="11" t="s">
        <v>5</v>
      </c>
      <c r="AG21" s="10" t="s">
        <v>16</v>
      </c>
      <c r="AI21" s="10">
        <v>6</v>
      </c>
      <c r="AJ21" s="10">
        <v>2.9</v>
      </c>
      <c r="AK21" s="10">
        <v>4.5</v>
      </c>
      <c r="AL21" s="10">
        <v>1.5</v>
      </c>
      <c r="AM21" s="11" t="s">
        <v>6</v>
      </c>
      <c r="AN21" s="10" t="s">
        <v>17</v>
      </c>
      <c r="AP21" s="10">
        <v>6.7</v>
      </c>
      <c r="AQ21" s="10">
        <v>3</v>
      </c>
      <c r="AR21" s="10">
        <v>5</v>
      </c>
      <c r="AS21" s="10">
        <v>1.7</v>
      </c>
      <c r="AT21" s="11" t="s">
        <v>6</v>
      </c>
      <c r="AU21" s="10" t="s">
        <v>18</v>
      </c>
    </row>
    <row r="22" spans="1:47" x14ac:dyDescent="0.2">
      <c r="A22">
        <v>5.0999999999999996</v>
      </c>
      <c r="B22">
        <v>3.5</v>
      </c>
      <c r="C22">
        <v>1.4</v>
      </c>
      <c r="D22">
        <v>0.3</v>
      </c>
      <c r="E22" s="3" t="s">
        <v>5</v>
      </c>
      <c r="J22" s="2">
        <f>POWER(J$4-A22,2)</f>
        <v>1.322499999999964E-2</v>
      </c>
      <c r="K22" s="2">
        <f>POWER(K$4-B22,2)</f>
        <v>7.6562499999999842E-3</v>
      </c>
      <c r="L22" s="2">
        <f>POWER(L$4-C22,2)</f>
        <v>2.4999999999999823E-3</v>
      </c>
      <c r="M22" s="2">
        <f>POWER(M$4-D22,2)</f>
        <v>2.5000000000000157E-3</v>
      </c>
      <c r="N22" s="7">
        <f t="shared" si="3"/>
        <v>0.1608765054319605</v>
      </c>
      <c r="O22" s="2">
        <f>POWER(O$4-A22,2)</f>
        <v>0.24601599999999957</v>
      </c>
      <c r="P22" s="2">
        <f>POWER(P$4-B22,2)</f>
        <v>0.71233600000000052</v>
      </c>
      <c r="Q22" s="2">
        <f>POWER(Q$4-C22,2)</f>
        <v>6.8434560000000006</v>
      </c>
      <c r="R22" s="2">
        <f>POWER(R$4-D22,2)</f>
        <v>0.88359999999999994</v>
      </c>
      <c r="S22" s="7">
        <f t="shared" si="4"/>
        <v>2.9471016270227262</v>
      </c>
      <c r="T22" s="2">
        <f>POWER(T$4-A22,2)</f>
        <v>2.2173917355371824</v>
      </c>
      <c r="U22" s="2">
        <f>POWER(U$4-B22,2)</f>
        <v>0.28768595041322198</v>
      </c>
      <c r="V22" s="2">
        <f>POWER(V$4-C22,2)</f>
        <v>15.394922314049591</v>
      </c>
      <c r="W22" s="2">
        <f>POWER(W$4-D22,2)</f>
        <v>2.4449586776859484</v>
      </c>
      <c r="X22" s="7">
        <f t="shared" si="5"/>
        <v>4.5105386238991398</v>
      </c>
      <c r="Y22" s="9">
        <f t="shared" si="6"/>
        <v>0.1608765054319605</v>
      </c>
      <c r="Z22" t="str">
        <f>IF(Y22=N22,"C1",IF(Y22=S22,"C2",IF(Y22=X22,"C3")))</f>
        <v>C1</v>
      </c>
      <c r="AB22" s="10">
        <v>5</v>
      </c>
      <c r="AC22" s="10">
        <v>3.2</v>
      </c>
      <c r="AD22" s="10">
        <v>1.2</v>
      </c>
      <c r="AE22" s="10">
        <v>0.2</v>
      </c>
      <c r="AF22" s="11" t="s">
        <v>5</v>
      </c>
      <c r="AG22" s="10" t="s">
        <v>16</v>
      </c>
      <c r="AI22" s="10">
        <v>5.7</v>
      </c>
      <c r="AJ22" s="10">
        <v>2.6</v>
      </c>
      <c r="AK22" s="10">
        <v>3.5</v>
      </c>
      <c r="AL22" s="10">
        <v>1</v>
      </c>
      <c r="AM22" s="11" t="s">
        <v>6</v>
      </c>
      <c r="AN22" s="10" t="s">
        <v>17</v>
      </c>
      <c r="AP22" s="10">
        <v>6.3</v>
      </c>
      <c r="AQ22" s="10">
        <v>3.3</v>
      </c>
      <c r="AR22" s="10">
        <v>6</v>
      </c>
      <c r="AS22" s="10">
        <v>2.5</v>
      </c>
      <c r="AT22" s="11" t="s">
        <v>7</v>
      </c>
      <c r="AU22" s="10" t="s">
        <v>18</v>
      </c>
    </row>
    <row r="23" spans="1:47" x14ac:dyDescent="0.2">
      <c r="A23">
        <v>5.7</v>
      </c>
      <c r="B23">
        <v>3.8</v>
      </c>
      <c r="C23">
        <v>1.7</v>
      </c>
      <c r="D23">
        <v>0.3</v>
      </c>
      <c r="E23" s="3" t="s">
        <v>5</v>
      </c>
      <c r="J23" s="2">
        <f>POWER(J$4-A23,2)</f>
        <v>0.51122499999999849</v>
      </c>
      <c r="K23" s="2">
        <f>POWER(K$4-B23,2)</f>
        <v>0.1501562499999998</v>
      </c>
      <c r="L23" s="2">
        <f>POWER(L$4-C23,2)</f>
        <v>6.2500000000000111E-2</v>
      </c>
      <c r="M23" s="2">
        <f>POWER(M$4-D23,2)</f>
        <v>2.5000000000000157E-3</v>
      </c>
      <c r="N23" s="7">
        <f t="shared" si="3"/>
        <v>0.85228003027174026</v>
      </c>
      <c r="O23" s="2">
        <f>POWER(O$4-A23,2)</f>
        <v>1.0816000000000204E-2</v>
      </c>
      <c r="P23" s="2">
        <f>POWER(P$4-B23,2)</f>
        <v>1.3087360000000003</v>
      </c>
      <c r="Q23" s="2">
        <f>POWER(Q$4-C23,2)</f>
        <v>5.3638559999999993</v>
      </c>
      <c r="R23" s="2">
        <f>POWER(R$4-D23,2)</f>
        <v>0.88359999999999994</v>
      </c>
      <c r="S23" s="7">
        <f t="shared" si="4"/>
        <v>2.7508195142538887</v>
      </c>
      <c r="T23" s="2">
        <f>POWER(T$4-A23,2)</f>
        <v>0.79048264462809381</v>
      </c>
      <c r="U23" s="2">
        <f>POWER(U$4-B23,2)</f>
        <v>0.69950413223140284</v>
      </c>
      <c r="V23" s="2">
        <f>POWER(V$4-C23,2)</f>
        <v>13.130740495867771</v>
      </c>
      <c r="W23" s="2">
        <f>POWER(W$4-D23,2)</f>
        <v>2.4449586776859484</v>
      </c>
      <c r="X23" s="7">
        <f t="shared" si="5"/>
        <v>4.1310635374456801</v>
      </c>
      <c r="Y23" s="9">
        <f t="shared" si="6"/>
        <v>0.85228003027174026</v>
      </c>
      <c r="Z23" t="str">
        <f>IF(Y23=N23,"C1",IF(Y23=S23,"C2",IF(Y23=X23,"C3")))</f>
        <v>C1</v>
      </c>
      <c r="AB23" s="10">
        <v>5.5</v>
      </c>
      <c r="AC23" s="10">
        <v>3.5</v>
      </c>
      <c r="AD23" s="10">
        <v>1.3</v>
      </c>
      <c r="AE23" s="10">
        <v>0.2</v>
      </c>
      <c r="AF23" s="11" t="s">
        <v>5</v>
      </c>
      <c r="AG23" s="10" t="s">
        <v>16</v>
      </c>
      <c r="AI23" s="10">
        <v>5.5</v>
      </c>
      <c r="AJ23" s="10">
        <v>2.6</v>
      </c>
      <c r="AK23" s="10">
        <v>4.4000000000000004</v>
      </c>
      <c r="AL23" s="10">
        <v>1.2</v>
      </c>
      <c r="AM23" s="11" t="s">
        <v>6</v>
      </c>
      <c r="AN23" s="10" t="s">
        <v>17</v>
      </c>
      <c r="AP23" s="10">
        <v>5.8</v>
      </c>
      <c r="AQ23" s="10">
        <v>2.7</v>
      </c>
      <c r="AR23" s="10">
        <v>5.0999999999999996</v>
      </c>
      <c r="AS23" s="10">
        <v>1.9</v>
      </c>
      <c r="AT23" s="11" t="s">
        <v>7</v>
      </c>
      <c r="AU23" s="10" t="s">
        <v>18</v>
      </c>
    </row>
    <row r="24" spans="1:47" x14ac:dyDescent="0.2">
      <c r="A24">
        <v>5.0999999999999996</v>
      </c>
      <c r="B24">
        <v>3.8</v>
      </c>
      <c r="C24">
        <v>1.5</v>
      </c>
      <c r="D24">
        <v>0.3</v>
      </c>
      <c r="E24" s="3" t="s">
        <v>5</v>
      </c>
      <c r="J24" s="2">
        <f>POWER(J$4-A24,2)</f>
        <v>1.322499999999964E-2</v>
      </c>
      <c r="K24" s="2">
        <f>POWER(K$4-B24,2)</f>
        <v>0.1501562499999998</v>
      </c>
      <c r="L24" s="2">
        <f>POWER(L$4-C24,2)</f>
        <v>2.5000000000000265E-3</v>
      </c>
      <c r="M24" s="2">
        <f>POWER(M$4-D24,2)</f>
        <v>2.5000000000000157E-3</v>
      </c>
      <c r="N24" s="7">
        <f t="shared" si="3"/>
        <v>0.41034284446057961</v>
      </c>
      <c r="O24" s="2">
        <f>POWER(O$4-A24,2)</f>
        <v>0.24601599999999957</v>
      </c>
      <c r="P24" s="2">
        <f>POWER(P$4-B24,2)</f>
        <v>1.3087360000000003</v>
      </c>
      <c r="Q24" s="2">
        <f>POWER(Q$4-C24,2)</f>
        <v>6.3302560000000003</v>
      </c>
      <c r="R24" s="2">
        <f>POWER(R$4-D24,2)</f>
        <v>0.88359999999999994</v>
      </c>
      <c r="S24" s="7">
        <f t="shared" si="4"/>
        <v>2.9611835471648833</v>
      </c>
      <c r="T24" s="2">
        <f>POWER(T$4-A24,2)</f>
        <v>2.2173917355371824</v>
      </c>
      <c r="U24" s="2">
        <f>POWER(U$4-B24,2)</f>
        <v>0.69950413223140284</v>
      </c>
      <c r="V24" s="2">
        <f>POWER(V$4-C24,2)</f>
        <v>14.620195041322319</v>
      </c>
      <c r="W24" s="2">
        <f>POWER(W$4-D24,2)</f>
        <v>2.4449586776859484</v>
      </c>
      <c r="X24" s="7">
        <f t="shared" si="5"/>
        <v>4.4701285872754104</v>
      </c>
      <c r="Y24" s="9">
        <f t="shared" si="6"/>
        <v>0.41034284446057961</v>
      </c>
      <c r="Z24" t="str">
        <f>IF(Y24=N24,"C1",IF(Y24=S24,"C2",IF(Y24=X24,"C3")))</f>
        <v>C1</v>
      </c>
      <c r="AB24" s="10">
        <v>4.9000000000000004</v>
      </c>
      <c r="AC24" s="10">
        <v>3.1</v>
      </c>
      <c r="AD24" s="10">
        <v>1.5</v>
      </c>
      <c r="AE24" s="10">
        <v>0.1</v>
      </c>
      <c r="AF24" s="11" t="s">
        <v>5</v>
      </c>
      <c r="AG24" s="10" t="s">
        <v>16</v>
      </c>
      <c r="AI24" s="10">
        <v>6.1</v>
      </c>
      <c r="AJ24" s="10">
        <v>3</v>
      </c>
      <c r="AK24" s="10">
        <v>4.5999999999999996</v>
      </c>
      <c r="AL24" s="10">
        <v>1.4</v>
      </c>
      <c r="AM24" s="11" t="s">
        <v>6</v>
      </c>
      <c r="AN24" s="10" t="s">
        <v>17</v>
      </c>
      <c r="AP24" s="10">
        <v>7.1</v>
      </c>
      <c r="AQ24" s="10">
        <v>3</v>
      </c>
      <c r="AR24" s="10">
        <v>5.9</v>
      </c>
      <c r="AS24" s="10">
        <v>2.1</v>
      </c>
      <c r="AT24" s="11" t="s">
        <v>7</v>
      </c>
      <c r="AU24" s="10" t="s">
        <v>18</v>
      </c>
    </row>
    <row r="25" spans="1:47" x14ac:dyDescent="0.2">
      <c r="A25">
        <v>5.4</v>
      </c>
      <c r="B25">
        <v>3.4</v>
      </c>
      <c r="C25">
        <v>1.7</v>
      </c>
      <c r="D25">
        <v>0.2</v>
      </c>
      <c r="E25" s="3" t="s">
        <v>5</v>
      </c>
      <c r="J25" s="2">
        <f>POWER(J$4-A25,2)</f>
        <v>0.1722249999999993</v>
      </c>
      <c r="K25" s="2">
        <f>POWER(K$4-B25,2)</f>
        <v>1.5625000000000445E-4</v>
      </c>
      <c r="L25" s="2">
        <f>POWER(L$4-C25,2)</f>
        <v>6.2500000000000111E-2</v>
      </c>
      <c r="M25" s="2">
        <f>POWER(M$4-D25,2)</f>
        <v>2.4999999999999823E-3</v>
      </c>
      <c r="N25" s="7">
        <f t="shared" si="3"/>
        <v>0.48721786707796277</v>
      </c>
      <c r="O25" s="2">
        <f>POWER(O$4-A25,2)</f>
        <v>3.8415999999999548E-2</v>
      </c>
      <c r="P25" s="2">
        <f>POWER(P$4-B25,2)</f>
        <v>0.55353600000000036</v>
      </c>
      <c r="Q25" s="2">
        <f>POWER(Q$4-C25,2)</f>
        <v>5.3638559999999993</v>
      </c>
      <c r="R25" s="2">
        <f>POWER(R$4-D25,2)</f>
        <v>1.0816000000000001</v>
      </c>
      <c r="S25" s="7">
        <f t="shared" si="4"/>
        <v>2.6528113389383723</v>
      </c>
      <c r="T25" s="2">
        <f>POWER(T$4-A25,2)</f>
        <v>1.413937190082637</v>
      </c>
      <c r="U25" s="2">
        <f>POWER(U$4-B25,2)</f>
        <v>0.19041322314049483</v>
      </c>
      <c r="V25" s="2">
        <f>POWER(V$4-C25,2)</f>
        <v>13.130740495867771</v>
      </c>
      <c r="W25" s="2">
        <f>POWER(W$4-D25,2)</f>
        <v>2.7676859504132216</v>
      </c>
      <c r="X25" s="7">
        <f t="shared" si="5"/>
        <v>4.1836320176975557</v>
      </c>
      <c r="Y25" s="9">
        <f t="shared" si="6"/>
        <v>0.48721786707796277</v>
      </c>
      <c r="Z25" t="str">
        <f>IF(Y25=N25,"C1",IF(Y25=S25,"C2",IF(Y25=X25,"C3")))</f>
        <v>C1</v>
      </c>
      <c r="AB25" s="10">
        <v>4.4000000000000004</v>
      </c>
      <c r="AC25" s="10">
        <v>3</v>
      </c>
      <c r="AD25" s="10">
        <v>1.3</v>
      </c>
      <c r="AE25" s="10">
        <v>0.2</v>
      </c>
      <c r="AF25" s="11" t="s">
        <v>5</v>
      </c>
      <c r="AG25" s="10" t="s">
        <v>16</v>
      </c>
      <c r="AI25" s="10">
        <v>5.8</v>
      </c>
      <c r="AJ25" s="10">
        <v>2.6</v>
      </c>
      <c r="AK25" s="10">
        <v>4</v>
      </c>
      <c r="AL25" s="10">
        <v>1.2</v>
      </c>
      <c r="AM25" s="11" t="s">
        <v>6</v>
      </c>
      <c r="AN25" s="10" t="s">
        <v>17</v>
      </c>
      <c r="AP25" s="10">
        <v>6.3</v>
      </c>
      <c r="AQ25" s="10">
        <v>2.9</v>
      </c>
      <c r="AR25" s="10">
        <v>5.6</v>
      </c>
      <c r="AS25" s="10">
        <v>1.8</v>
      </c>
      <c r="AT25" s="11" t="s">
        <v>7</v>
      </c>
      <c r="AU25" s="10" t="s">
        <v>18</v>
      </c>
    </row>
    <row r="26" spans="1:47" x14ac:dyDescent="0.2">
      <c r="A26">
        <v>5.0999999999999996</v>
      </c>
      <c r="B26">
        <v>3.7</v>
      </c>
      <c r="C26">
        <v>1.5</v>
      </c>
      <c r="D26">
        <v>0.4</v>
      </c>
      <c r="E26" s="3" t="s">
        <v>5</v>
      </c>
      <c r="J26" s="2">
        <f>POWER(J$4-A26,2)</f>
        <v>1.322499999999964E-2</v>
      </c>
      <c r="K26" s="2">
        <f>POWER(K$4-B26,2)</f>
        <v>8.2656250000000056E-2</v>
      </c>
      <c r="L26" s="2">
        <f>POWER(L$4-C26,2)</f>
        <v>2.5000000000000265E-3</v>
      </c>
      <c r="M26" s="2">
        <f>POWER(M$4-D26,2)</f>
        <v>2.2500000000000058E-2</v>
      </c>
      <c r="N26" s="7">
        <f t="shared" si="3"/>
        <v>0.34767980959497746</v>
      </c>
      <c r="O26" s="2">
        <f>POWER(O$4-A26,2)</f>
        <v>0.24601599999999957</v>
      </c>
      <c r="P26" s="2">
        <f>POWER(P$4-B26,2)</f>
        <v>1.0899360000000009</v>
      </c>
      <c r="Q26" s="2">
        <f>POWER(Q$4-C26,2)</f>
        <v>6.3302560000000003</v>
      </c>
      <c r="R26" s="2">
        <f>POWER(R$4-D26,2)</f>
        <v>0.70559999999999989</v>
      </c>
      <c r="S26" s="7">
        <f t="shared" si="4"/>
        <v>2.893407679536363</v>
      </c>
      <c r="T26" s="2">
        <f>POWER(T$4-A26,2)</f>
        <v>2.2173917355371824</v>
      </c>
      <c r="U26" s="2">
        <f>POWER(U$4-B26,2)</f>
        <v>0.54223140495867628</v>
      </c>
      <c r="V26" s="2">
        <f>POWER(V$4-C26,2)</f>
        <v>14.620195041322319</v>
      </c>
      <c r="W26" s="2">
        <f>POWER(W$4-D26,2)</f>
        <v>2.1422314049586757</v>
      </c>
      <c r="X26" s="7">
        <f t="shared" si="5"/>
        <v>4.4183763518714487</v>
      </c>
      <c r="Y26" s="9">
        <f t="shared" si="6"/>
        <v>0.34767980959497746</v>
      </c>
      <c r="Z26" t="str">
        <f>IF(Y26=N26,"C1",IF(Y26=S26,"C2",IF(Y26=X26,"C3")))</f>
        <v>C1</v>
      </c>
      <c r="AB26" s="10">
        <v>5.0999999999999996</v>
      </c>
      <c r="AC26" s="10">
        <v>3.4</v>
      </c>
      <c r="AD26" s="10">
        <v>1.5</v>
      </c>
      <c r="AE26" s="10">
        <v>0.2</v>
      </c>
      <c r="AF26" s="11" t="s">
        <v>5</v>
      </c>
      <c r="AG26" s="10" t="s">
        <v>16</v>
      </c>
      <c r="AI26" s="10">
        <v>5</v>
      </c>
      <c r="AJ26" s="10">
        <v>2.2999999999999998</v>
      </c>
      <c r="AK26" s="10">
        <v>3.3</v>
      </c>
      <c r="AL26" s="10">
        <v>1</v>
      </c>
      <c r="AM26" s="11" t="s">
        <v>6</v>
      </c>
      <c r="AN26" s="10" t="s">
        <v>17</v>
      </c>
      <c r="AP26" s="10">
        <v>6.5</v>
      </c>
      <c r="AQ26" s="10">
        <v>3</v>
      </c>
      <c r="AR26" s="10">
        <v>5.8</v>
      </c>
      <c r="AS26" s="10">
        <v>2.2000000000000002</v>
      </c>
      <c r="AT26" s="11" t="s">
        <v>7</v>
      </c>
      <c r="AU26" s="10" t="s">
        <v>18</v>
      </c>
    </row>
    <row r="27" spans="1:47" x14ac:dyDescent="0.2">
      <c r="A27">
        <v>4.5999999999999996</v>
      </c>
      <c r="B27">
        <v>3.6</v>
      </c>
      <c r="C27">
        <v>1</v>
      </c>
      <c r="D27">
        <v>0.2</v>
      </c>
      <c r="E27" s="3" t="s">
        <v>5</v>
      </c>
      <c r="J27" s="2">
        <f>POWER(J$4-A27,2)</f>
        <v>0.14822500000000122</v>
      </c>
      <c r="K27" s="2">
        <f>POWER(K$4-B27,2)</f>
        <v>3.515625E-2</v>
      </c>
      <c r="L27" s="2">
        <f>POWER(L$4-C27,2)</f>
        <v>0.20249999999999976</v>
      </c>
      <c r="M27" s="2">
        <f>POWER(M$4-D27,2)</f>
        <v>2.4999999999999823E-3</v>
      </c>
      <c r="N27" s="7">
        <f t="shared" si="3"/>
        <v>0.6232024149503923</v>
      </c>
      <c r="O27" s="2">
        <f>POWER(O$4-A27,2)</f>
        <v>0.99201599999999912</v>
      </c>
      <c r="P27" s="2">
        <f>POWER(P$4-B27,2)</f>
        <v>0.89113600000000071</v>
      </c>
      <c r="Q27" s="2">
        <f>POWER(Q$4-C27,2)</f>
        <v>9.0962560000000003</v>
      </c>
      <c r="R27" s="2">
        <f>POWER(R$4-D27,2)</f>
        <v>1.0816000000000001</v>
      </c>
      <c r="S27" s="7">
        <f t="shared" si="4"/>
        <v>3.4728961977001269</v>
      </c>
      <c r="T27" s="2">
        <f>POWER(T$4-A27,2)</f>
        <v>3.956482644628089</v>
      </c>
      <c r="U27" s="2">
        <f>POWER(U$4-B27,2)</f>
        <v>0.40495867768594912</v>
      </c>
      <c r="V27" s="2">
        <f>POWER(V$4-C27,2)</f>
        <v>18.693831404958683</v>
      </c>
      <c r="W27" s="2">
        <f>POWER(W$4-D27,2)</f>
        <v>2.7676859504132216</v>
      </c>
      <c r="X27" s="7">
        <f t="shared" si="5"/>
        <v>5.0816295297557792</v>
      </c>
      <c r="Y27" s="9">
        <f t="shared" si="6"/>
        <v>0.6232024149503923</v>
      </c>
      <c r="Z27" t="str">
        <f>IF(Y27=N27,"C1",IF(Y27=S27,"C2",IF(Y27=X27,"C3")))</f>
        <v>C1</v>
      </c>
      <c r="AB27" s="10">
        <v>5</v>
      </c>
      <c r="AC27" s="10">
        <v>3.5</v>
      </c>
      <c r="AD27" s="10">
        <v>1.3</v>
      </c>
      <c r="AE27" s="10">
        <v>0.3</v>
      </c>
      <c r="AF27" s="11" t="s">
        <v>5</v>
      </c>
      <c r="AG27" s="10" t="s">
        <v>16</v>
      </c>
      <c r="AI27" s="10">
        <v>5.6</v>
      </c>
      <c r="AJ27" s="10">
        <v>2.7</v>
      </c>
      <c r="AK27" s="10">
        <v>4.2</v>
      </c>
      <c r="AL27" s="10">
        <v>1.3</v>
      </c>
      <c r="AM27" s="11" t="s">
        <v>6</v>
      </c>
      <c r="AN27" s="10" t="s">
        <v>17</v>
      </c>
      <c r="AP27" s="10">
        <v>7.6</v>
      </c>
      <c r="AQ27" s="10">
        <v>3</v>
      </c>
      <c r="AR27" s="10">
        <v>6.6</v>
      </c>
      <c r="AS27" s="10">
        <v>2.1</v>
      </c>
      <c r="AT27" s="11" t="s">
        <v>7</v>
      </c>
      <c r="AU27" s="10" t="s">
        <v>18</v>
      </c>
    </row>
    <row r="28" spans="1:47" x14ac:dyDescent="0.2">
      <c r="A28">
        <v>5.0999999999999996</v>
      </c>
      <c r="B28">
        <v>3.3</v>
      </c>
      <c r="C28">
        <v>1.7</v>
      </c>
      <c r="D28">
        <v>0.5</v>
      </c>
      <c r="E28" s="3" t="s">
        <v>5</v>
      </c>
      <c r="J28" s="2">
        <f>POWER(J$4-A28,2)</f>
        <v>1.322499999999964E-2</v>
      </c>
      <c r="K28" s="2">
        <f>POWER(K$4-B28,2)</f>
        <v>1.265625000000006E-2</v>
      </c>
      <c r="L28" s="2">
        <f>POWER(L$4-C28,2)</f>
        <v>6.2500000000000111E-2</v>
      </c>
      <c r="M28" s="2">
        <f>POWER(M$4-D28,2)</f>
        <v>6.2500000000000083E-2</v>
      </c>
      <c r="N28" s="7">
        <f t="shared" si="3"/>
        <v>0.3884343573887355</v>
      </c>
      <c r="O28" s="2">
        <f>POWER(O$4-A28,2)</f>
        <v>0.24601599999999957</v>
      </c>
      <c r="P28" s="2">
        <f>POWER(P$4-B28,2)</f>
        <v>0.41473600000000016</v>
      </c>
      <c r="Q28" s="2">
        <f>POWER(Q$4-C28,2)</f>
        <v>5.3638559999999993</v>
      </c>
      <c r="R28" s="2">
        <f>POWER(R$4-D28,2)</f>
        <v>0.54759999999999998</v>
      </c>
      <c r="S28" s="7">
        <f t="shared" si="4"/>
        <v>2.5636317988353943</v>
      </c>
      <c r="T28" s="2">
        <f>POWER(T$4-A28,2)</f>
        <v>2.2173917355371824</v>
      </c>
      <c r="U28" s="2">
        <f>POWER(U$4-B28,2)</f>
        <v>0.11314049586776774</v>
      </c>
      <c r="V28" s="2">
        <f>POWER(V$4-C28,2)</f>
        <v>13.130740495867771</v>
      </c>
      <c r="W28" s="2">
        <f>POWER(W$4-D28,2)</f>
        <v>1.8595041322314034</v>
      </c>
      <c r="X28" s="7">
        <f t="shared" si="5"/>
        <v>4.1618237420035129</v>
      </c>
      <c r="Y28" s="9">
        <f t="shared" si="6"/>
        <v>0.3884343573887355</v>
      </c>
      <c r="Z28" t="str">
        <f>IF(Y28=N28,"C1",IF(Y28=S28,"C2",IF(Y28=X28,"C3")))</f>
        <v>C1</v>
      </c>
      <c r="AB28" s="10">
        <v>4.5</v>
      </c>
      <c r="AC28" s="10">
        <v>2.2999999999999998</v>
      </c>
      <c r="AD28" s="10">
        <v>1.3</v>
      </c>
      <c r="AE28" s="10">
        <v>0.3</v>
      </c>
      <c r="AF28" s="11" t="s">
        <v>5</v>
      </c>
      <c r="AG28" s="10" t="s">
        <v>16</v>
      </c>
      <c r="AI28" s="10">
        <v>5.7</v>
      </c>
      <c r="AJ28" s="10">
        <v>3</v>
      </c>
      <c r="AK28" s="10">
        <v>4.2</v>
      </c>
      <c r="AL28" s="10">
        <v>1.2</v>
      </c>
      <c r="AM28" s="13" t="s">
        <v>6</v>
      </c>
      <c r="AN28" s="10" t="s">
        <v>17</v>
      </c>
      <c r="AP28" s="10">
        <v>5.7</v>
      </c>
      <c r="AQ28" s="10">
        <v>2.5</v>
      </c>
      <c r="AR28" s="10">
        <v>5</v>
      </c>
      <c r="AS28" s="10">
        <v>2</v>
      </c>
      <c r="AT28" s="11" t="s">
        <v>7</v>
      </c>
      <c r="AU28" s="10" t="s">
        <v>18</v>
      </c>
    </row>
    <row r="29" spans="1:47" x14ac:dyDescent="0.2">
      <c r="A29">
        <v>4.8</v>
      </c>
      <c r="B29">
        <v>3.4</v>
      </c>
      <c r="C29">
        <v>1.9</v>
      </c>
      <c r="D29">
        <v>0.2</v>
      </c>
      <c r="E29" s="3" t="s">
        <v>5</v>
      </c>
      <c r="J29" s="2">
        <f>POWER(J$4-A29,2)</f>
        <v>3.4225000000000512E-2</v>
      </c>
      <c r="K29" s="2">
        <f>POWER(K$4-B29,2)</f>
        <v>1.5625000000000445E-4</v>
      </c>
      <c r="L29" s="2">
        <f>POWER(L$4-C29,2)</f>
        <v>0.20250000000000015</v>
      </c>
      <c r="M29" s="2">
        <f>POWER(M$4-D29,2)</f>
        <v>2.4999999999999823E-3</v>
      </c>
      <c r="N29" s="7">
        <f t="shared" si="3"/>
        <v>0.48926603192946128</v>
      </c>
      <c r="O29" s="2">
        <f>POWER(O$4-A29,2)</f>
        <v>0.63361599999999896</v>
      </c>
      <c r="P29" s="2">
        <f>POWER(P$4-B29,2)</f>
        <v>0.55353600000000036</v>
      </c>
      <c r="Q29" s="2">
        <f>POWER(Q$4-C29,2)</f>
        <v>4.4774560000000001</v>
      </c>
      <c r="R29" s="2">
        <f>POWER(R$4-D29,2)</f>
        <v>1.0816000000000001</v>
      </c>
      <c r="S29" s="7">
        <f t="shared" si="4"/>
        <v>2.5973463380920148</v>
      </c>
      <c r="T29" s="2">
        <f>POWER(T$4-A29,2)</f>
        <v>3.2008462809917257</v>
      </c>
      <c r="U29" s="2">
        <f>POWER(U$4-B29,2)</f>
        <v>0.19041322314049483</v>
      </c>
      <c r="V29" s="2">
        <f>POWER(V$4-C29,2)</f>
        <v>11.721285950413227</v>
      </c>
      <c r="W29" s="2">
        <f>POWER(W$4-D29,2)</f>
        <v>2.7676859504132216</v>
      </c>
      <c r="X29" s="7">
        <f t="shared" si="5"/>
        <v>4.2285022649820903</v>
      </c>
      <c r="Y29" s="9">
        <f t="shared" si="6"/>
        <v>0.48926603192946128</v>
      </c>
      <c r="Z29" t="str">
        <f>IF(Y29=N29,"C1",IF(Y29=S29,"C2",IF(Y29=X29,"C3")))</f>
        <v>C1</v>
      </c>
      <c r="AB29" s="10">
        <v>4.4000000000000004</v>
      </c>
      <c r="AC29" s="10">
        <v>3.2</v>
      </c>
      <c r="AD29" s="10">
        <v>1.3</v>
      </c>
      <c r="AE29" s="10">
        <v>0.2</v>
      </c>
      <c r="AF29" s="11" t="s">
        <v>5</v>
      </c>
      <c r="AG29" s="10" t="s">
        <v>16</v>
      </c>
      <c r="AI29">
        <v>5.7</v>
      </c>
      <c r="AJ29">
        <v>2.9</v>
      </c>
      <c r="AK29">
        <v>4.2</v>
      </c>
      <c r="AL29">
        <v>1.3</v>
      </c>
      <c r="AM29" s="3" t="s">
        <v>6</v>
      </c>
      <c r="AN29" t="s">
        <v>17</v>
      </c>
      <c r="AP29" s="10">
        <v>5.8</v>
      </c>
      <c r="AQ29" s="10">
        <v>2.8</v>
      </c>
      <c r="AR29" s="10">
        <v>5.0999999999999996</v>
      </c>
      <c r="AS29" s="10">
        <v>2.4</v>
      </c>
      <c r="AT29" s="11" t="s">
        <v>7</v>
      </c>
      <c r="AU29" s="10" t="s">
        <v>18</v>
      </c>
    </row>
    <row r="30" spans="1:47" x14ac:dyDescent="0.2">
      <c r="A30">
        <v>5</v>
      </c>
      <c r="B30">
        <v>3.2</v>
      </c>
      <c r="C30">
        <v>1.2</v>
      </c>
      <c r="D30">
        <v>0.2</v>
      </c>
      <c r="E30" s="3" t="s">
        <v>5</v>
      </c>
      <c r="J30" s="2">
        <f>POWER(J$4-A30,2)</f>
        <v>2.2499999999996375E-4</v>
      </c>
      <c r="K30" s="2">
        <f>POWER(K$4-B30,2)</f>
        <v>4.515624999999996E-2</v>
      </c>
      <c r="L30" s="2">
        <f>POWER(L$4-C30,2)</f>
        <v>6.2499999999999889E-2</v>
      </c>
      <c r="M30" s="2">
        <f>POWER(M$4-D30,2)</f>
        <v>2.4999999999999823E-3</v>
      </c>
      <c r="N30" s="7">
        <f t="shared" si="3"/>
        <v>0.33223673788429808</v>
      </c>
      <c r="O30" s="2">
        <f>POWER(O$4-A30,2)</f>
        <v>0.35521599999999903</v>
      </c>
      <c r="P30" s="2">
        <f>POWER(P$4-B30,2)</f>
        <v>0.29593600000000053</v>
      </c>
      <c r="Q30" s="2">
        <f>POWER(Q$4-C30,2)</f>
        <v>7.9298559999999991</v>
      </c>
      <c r="R30" s="2">
        <f>POWER(R$4-D30,2)</f>
        <v>1.0816000000000001</v>
      </c>
      <c r="S30" s="7">
        <f t="shared" si="4"/>
        <v>3.1084735803927943</v>
      </c>
      <c r="T30" s="2">
        <f>POWER(T$4-A30,2)</f>
        <v>2.5252099173553626</v>
      </c>
      <c r="U30" s="2">
        <f>POWER(U$4-B30,2)</f>
        <v>5.586776859504089E-2</v>
      </c>
      <c r="V30" s="2">
        <f>POWER(V$4-C30,2)</f>
        <v>17.004376859504134</v>
      </c>
      <c r="W30" s="2">
        <f>POWER(W$4-D30,2)</f>
        <v>2.7676859504132216</v>
      </c>
      <c r="X30" s="7">
        <f t="shared" si="5"/>
        <v>4.7279107960988176</v>
      </c>
      <c r="Y30" s="9">
        <f t="shared" si="6"/>
        <v>0.33223673788429808</v>
      </c>
      <c r="Z30" t="str">
        <f>IF(Y30=N30,"C1",IF(Y30=S30,"C2",IF(Y30=X30,"C3")))</f>
        <v>C1</v>
      </c>
      <c r="AB30" s="10">
        <v>5</v>
      </c>
      <c r="AC30" s="10">
        <v>3.5</v>
      </c>
      <c r="AD30" s="10">
        <v>1.6</v>
      </c>
      <c r="AE30" s="10">
        <v>0.6</v>
      </c>
      <c r="AF30" s="11" t="s">
        <v>5</v>
      </c>
      <c r="AG30" s="10" t="s">
        <v>16</v>
      </c>
      <c r="AI30">
        <v>6.2</v>
      </c>
      <c r="AJ30">
        <v>2.9</v>
      </c>
      <c r="AK30">
        <v>4.3</v>
      </c>
      <c r="AL30">
        <v>1.3</v>
      </c>
      <c r="AM30" s="3" t="s">
        <v>6</v>
      </c>
      <c r="AN30" t="s">
        <v>17</v>
      </c>
      <c r="AP30" s="10">
        <v>6.4</v>
      </c>
      <c r="AQ30" s="10">
        <v>3.2</v>
      </c>
      <c r="AR30" s="10">
        <v>5.3</v>
      </c>
      <c r="AS30" s="10">
        <v>2.2999999999999998</v>
      </c>
      <c r="AT30" s="11" t="s">
        <v>7</v>
      </c>
      <c r="AU30" s="10" t="s">
        <v>18</v>
      </c>
    </row>
    <row r="31" spans="1:47" x14ac:dyDescent="0.2">
      <c r="A31">
        <v>5.5</v>
      </c>
      <c r="B31">
        <v>3.5</v>
      </c>
      <c r="C31">
        <v>1.3</v>
      </c>
      <c r="D31">
        <v>0.2</v>
      </c>
      <c r="E31" s="3" t="s">
        <v>5</v>
      </c>
      <c r="J31" s="2">
        <f>POWER(J$4-A31,2)</f>
        <v>0.26522499999999877</v>
      </c>
      <c r="K31" s="2">
        <f>POWER(K$4-B31,2)</f>
        <v>7.6562499999999842E-3</v>
      </c>
      <c r="L31" s="2">
        <f>POWER(L$4-C31,2)</f>
        <v>2.2499999999999905E-2</v>
      </c>
      <c r="M31" s="2">
        <f>POWER(M$4-D31,2)</f>
        <v>2.4999999999999823E-3</v>
      </c>
      <c r="N31" s="7">
        <f t="shared" si="3"/>
        <v>0.54578498513608698</v>
      </c>
      <c r="O31" s="2">
        <f>POWER(O$4-A31,2)</f>
        <v>9.2159999999998458E-3</v>
      </c>
      <c r="P31" s="2">
        <f>POWER(P$4-B31,2)</f>
        <v>0.71233600000000052</v>
      </c>
      <c r="Q31" s="2">
        <f>POWER(Q$4-C31,2)</f>
        <v>7.3766560000000014</v>
      </c>
      <c r="R31" s="2">
        <f>POWER(R$4-D31,2)</f>
        <v>1.0816000000000001</v>
      </c>
      <c r="S31" s="7">
        <f t="shared" si="4"/>
        <v>3.0298197966215747</v>
      </c>
      <c r="T31" s="2">
        <f>POWER(T$4-A31,2)</f>
        <v>1.1861190082644566</v>
      </c>
      <c r="U31" s="2">
        <f>POWER(U$4-B31,2)</f>
        <v>0.28768595041322198</v>
      </c>
      <c r="V31" s="2">
        <f>POWER(V$4-C31,2)</f>
        <v>16.189649586776866</v>
      </c>
      <c r="W31" s="2">
        <f>POWER(W$4-D31,2)</f>
        <v>2.7676859504132216</v>
      </c>
      <c r="X31" s="7">
        <f t="shared" si="5"/>
        <v>4.5200819125174894</v>
      </c>
      <c r="Y31" s="9">
        <f t="shared" si="6"/>
        <v>0.54578498513608698</v>
      </c>
      <c r="Z31" t="str">
        <f>IF(Y31=N31,"C1",IF(Y31=S31,"C2",IF(Y31=X31,"C3")))</f>
        <v>C1</v>
      </c>
      <c r="AB31" s="10">
        <v>5.0999999999999996</v>
      </c>
      <c r="AC31" s="10">
        <v>3.8</v>
      </c>
      <c r="AD31" s="10">
        <v>1.9</v>
      </c>
      <c r="AE31" s="10">
        <v>0.4</v>
      </c>
      <c r="AF31" s="11" t="s">
        <v>5</v>
      </c>
      <c r="AG31" s="10" t="s">
        <v>16</v>
      </c>
      <c r="AI31">
        <v>5.0999999999999996</v>
      </c>
      <c r="AJ31">
        <v>2.5</v>
      </c>
      <c r="AK31">
        <v>3</v>
      </c>
      <c r="AL31">
        <v>1.1000000000000001</v>
      </c>
      <c r="AM31" s="3" t="s">
        <v>6</v>
      </c>
      <c r="AN31" t="s">
        <v>17</v>
      </c>
      <c r="AP31" s="10">
        <v>6.5</v>
      </c>
      <c r="AQ31" s="10">
        <v>3</v>
      </c>
      <c r="AR31" s="10">
        <v>5.5</v>
      </c>
      <c r="AS31" s="10">
        <v>1.8</v>
      </c>
      <c r="AT31" s="11" t="s">
        <v>7</v>
      </c>
      <c r="AU31" s="10" t="s">
        <v>18</v>
      </c>
    </row>
    <row r="32" spans="1:47" x14ac:dyDescent="0.2">
      <c r="A32">
        <v>4.9000000000000004</v>
      </c>
      <c r="B32">
        <v>3.1</v>
      </c>
      <c r="C32">
        <v>1.5</v>
      </c>
      <c r="D32">
        <v>0.1</v>
      </c>
      <c r="E32" s="3" t="s">
        <v>5</v>
      </c>
      <c r="J32" s="2">
        <f>POWER(J$4-A32,2)</f>
        <v>7.2250000000001454E-3</v>
      </c>
      <c r="K32" s="2">
        <f>POWER(K$4-B32,2)</f>
        <v>9.765625E-2</v>
      </c>
      <c r="L32" s="2">
        <f>POWER(L$4-C32,2)</f>
        <v>2.5000000000000265E-3</v>
      </c>
      <c r="M32" s="2">
        <f>POWER(M$4-D32,2)</f>
        <v>2.2499999999999947E-2</v>
      </c>
      <c r="N32" s="7">
        <f t="shared" si="3"/>
        <v>0.36039041330201904</v>
      </c>
      <c r="O32" s="2">
        <f>POWER(O$4-A32,2)</f>
        <v>0.4844159999999984</v>
      </c>
      <c r="P32" s="2">
        <f>POWER(P$4-B32,2)</f>
        <v>0.19713600000000034</v>
      </c>
      <c r="Q32" s="2">
        <f>POWER(Q$4-C32,2)</f>
        <v>6.3302560000000003</v>
      </c>
      <c r="R32" s="2">
        <f>POWER(R$4-D32,2)</f>
        <v>1.2995999999999999</v>
      </c>
      <c r="S32" s="7">
        <f t="shared" si="4"/>
        <v>2.882951265630413</v>
      </c>
      <c r="T32" s="2">
        <f>POWER(T$4-A32,2)</f>
        <v>2.8530280991735428</v>
      </c>
      <c r="U32" s="2">
        <f>POWER(U$4-B32,2)</f>
        <v>1.8595041322313776E-2</v>
      </c>
      <c r="V32" s="2">
        <f>POWER(V$4-C32,2)</f>
        <v>14.620195041322319</v>
      </c>
      <c r="W32" s="2">
        <f>POWER(W$4-D32,2)</f>
        <v>3.1104132231404935</v>
      </c>
      <c r="X32" s="7">
        <f t="shared" si="5"/>
        <v>4.5389680991342809</v>
      </c>
      <c r="Y32" s="9">
        <f t="shared" si="6"/>
        <v>0.36039041330201904</v>
      </c>
      <c r="Z32" t="str">
        <f>IF(Y32=N32,"C1",IF(Y32=S32,"C2",IF(Y32=X32,"C3")))</f>
        <v>C1</v>
      </c>
      <c r="AB32" s="10">
        <v>4.8</v>
      </c>
      <c r="AC32" s="10">
        <v>3</v>
      </c>
      <c r="AD32" s="10">
        <v>1.4</v>
      </c>
      <c r="AE32" s="10">
        <v>0.3</v>
      </c>
      <c r="AF32" s="11" t="s">
        <v>5</v>
      </c>
      <c r="AG32" s="10" t="s">
        <v>16</v>
      </c>
      <c r="AI32">
        <v>5.7</v>
      </c>
      <c r="AJ32">
        <v>2.8</v>
      </c>
      <c r="AK32">
        <v>4.0999999999999996</v>
      </c>
      <c r="AL32">
        <v>1.3</v>
      </c>
      <c r="AM32" s="3" t="s">
        <v>6</v>
      </c>
      <c r="AN32" t="s">
        <v>17</v>
      </c>
      <c r="AP32" s="10">
        <v>7.7</v>
      </c>
      <c r="AQ32" s="10">
        <v>3.8</v>
      </c>
      <c r="AR32" s="10">
        <v>6.7</v>
      </c>
      <c r="AS32" s="10">
        <v>2.2000000000000002</v>
      </c>
      <c r="AT32" s="11" t="s">
        <v>7</v>
      </c>
      <c r="AU32" s="10" t="s">
        <v>18</v>
      </c>
    </row>
    <row r="33" spans="1:47" x14ac:dyDescent="0.2">
      <c r="A33">
        <v>4.4000000000000004</v>
      </c>
      <c r="B33">
        <v>3</v>
      </c>
      <c r="C33">
        <v>1.3</v>
      </c>
      <c r="D33">
        <v>0.2</v>
      </c>
      <c r="E33" s="3" t="s">
        <v>5</v>
      </c>
      <c r="J33" s="2">
        <f>POWER(J$4-A33,2)</f>
        <v>0.342225000000001</v>
      </c>
      <c r="K33" s="2">
        <f>POWER(K$4-B33,2)</f>
        <v>0.17015625000000006</v>
      </c>
      <c r="L33" s="2">
        <f>POWER(L$4-C33,2)</f>
        <v>2.2499999999999905E-2</v>
      </c>
      <c r="M33" s="2">
        <f>POWER(M$4-D33,2)</f>
        <v>2.4999999999999823E-3</v>
      </c>
      <c r="N33" s="7">
        <f t="shared" si="3"/>
        <v>0.73306292362934367</v>
      </c>
      <c r="O33" s="2">
        <f>POWER(O$4-A33,2)</f>
        <v>1.4304159999999972</v>
      </c>
      <c r="P33" s="2">
        <f>POWER(P$4-B33,2)</f>
        <v>0.1183360000000002</v>
      </c>
      <c r="Q33" s="2">
        <f>POWER(Q$4-C33,2)</f>
        <v>7.3766560000000014</v>
      </c>
      <c r="R33" s="2">
        <f>POWER(R$4-D33,2)</f>
        <v>1.0816000000000001</v>
      </c>
      <c r="S33" s="7">
        <f t="shared" si="4"/>
        <v>3.1633855281960179</v>
      </c>
      <c r="T33" s="2">
        <f>POWER(T$4-A33,2)</f>
        <v>4.7921190082644483</v>
      </c>
      <c r="U33" s="2">
        <f>POWER(U$4-B33,2)</f>
        <v>1.3223140495866969E-3</v>
      </c>
      <c r="V33" s="2">
        <f>POWER(V$4-C33,2)</f>
        <v>16.189649586776866</v>
      </c>
      <c r="W33" s="2">
        <f>POWER(W$4-D33,2)</f>
        <v>2.7676859504132216</v>
      </c>
      <c r="X33" s="7">
        <f t="shared" si="5"/>
        <v>4.8734768758560989</v>
      </c>
      <c r="Y33" s="9">
        <f t="shared" si="6"/>
        <v>0.73306292362934367</v>
      </c>
      <c r="Z33" t="str">
        <f>IF(Y33=N33,"C1",IF(Y33=S33,"C2",IF(Y33=X33,"C3")))</f>
        <v>C1</v>
      </c>
      <c r="AB33" s="10">
        <v>5.0999999999999996</v>
      </c>
      <c r="AC33" s="10">
        <v>3.8</v>
      </c>
      <c r="AD33" s="10">
        <v>1.6</v>
      </c>
      <c r="AE33" s="10">
        <v>0.2</v>
      </c>
      <c r="AF33" s="11" t="s">
        <v>5</v>
      </c>
      <c r="AG33" s="10" t="s">
        <v>16</v>
      </c>
      <c r="AP33" s="10">
        <v>7.7</v>
      </c>
      <c r="AQ33" s="10">
        <v>2.6</v>
      </c>
      <c r="AR33" s="10">
        <v>6.9</v>
      </c>
      <c r="AS33" s="10">
        <v>2.2999999999999998</v>
      </c>
      <c r="AT33" s="11" t="s">
        <v>7</v>
      </c>
      <c r="AU33" s="10" t="s">
        <v>18</v>
      </c>
    </row>
    <row r="34" spans="1:47" x14ac:dyDescent="0.2">
      <c r="A34">
        <v>5.0999999999999996</v>
      </c>
      <c r="B34">
        <v>3.4</v>
      </c>
      <c r="C34">
        <v>1.5</v>
      </c>
      <c r="D34">
        <v>0.2</v>
      </c>
      <c r="E34" s="3" t="s">
        <v>5</v>
      </c>
      <c r="J34" s="2">
        <f>POWER(J$4-A34,2)</f>
        <v>1.322499999999964E-2</v>
      </c>
      <c r="K34" s="2">
        <f>POWER(K$4-B34,2)</f>
        <v>1.5625000000000445E-4</v>
      </c>
      <c r="L34" s="2">
        <f>POWER(L$4-C34,2)</f>
        <v>2.5000000000000265E-3</v>
      </c>
      <c r="M34" s="2">
        <f>POWER(M$4-D34,2)</f>
        <v>2.4999999999999823E-3</v>
      </c>
      <c r="N34" s="7">
        <f t="shared" si="3"/>
        <v>0.13557746862956119</v>
      </c>
      <c r="O34" s="2">
        <f>POWER(O$4-A34,2)</f>
        <v>0.24601599999999957</v>
      </c>
      <c r="P34" s="2">
        <f>POWER(P$4-B34,2)</f>
        <v>0.55353600000000036</v>
      </c>
      <c r="Q34" s="2">
        <f>POWER(Q$4-C34,2)</f>
        <v>6.3302560000000003</v>
      </c>
      <c r="R34" s="2">
        <f>POWER(R$4-D34,2)</f>
        <v>1.0816000000000001</v>
      </c>
      <c r="S34" s="7">
        <f t="shared" si="4"/>
        <v>2.8655554435396988</v>
      </c>
      <c r="T34" s="2">
        <f>POWER(T$4-A34,2)</f>
        <v>2.2173917355371824</v>
      </c>
      <c r="U34" s="2">
        <f>POWER(U$4-B34,2)</f>
        <v>0.19041322314049483</v>
      </c>
      <c r="V34" s="2">
        <f>POWER(V$4-C34,2)</f>
        <v>14.620195041322319</v>
      </c>
      <c r="W34" s="2">
        <f>POWER(W$4-D34,2)</f>
        <v>2.7676859504132216</v>
      </c>
      <c r="X34" s="7">
        <f t="shared" si="5"/>
        <v>4.4492343105767329</v>
      </c>
      <c r="Y34" s="9">
        <f t="shared" si="6"/>
        <v>0.13557746862956119</v>
      </c>
      <c r="Z34" t="str">
        <f>IF(Y34=N34,"C1",IF(Y34=S34,"C2",IF(Y34=X34,"C3")))</f>
        <v>C1</v>
      </c>
      <c r="AB34" s="10">
        <v>4.5999999999999996</v>
      </c>
      <c r="AC34" s="10">
        <v>3.2</v>
      </c>
      <c r="AD34" s="10">
        <v>1.4</v>
      </c>
      <c r="AE34" s="10">
        <v>0.2</v>
      </c>
      <c r="AF34" s="11" t="s">
        <v>5</v>
      </c>
      <c r="AG34" s="10" t="s">
        <v>16</v>
      </c>
      <c r="AP34" s="10">
        <v>6</v>
      </c>
      <c r="AQ34" s="10">
        <v>2.2000000000000002</v>
      </c>
      <c r="AR34" s="10">
        <v>5</v>
      </c>
      <c r="AS34" s="10">
        <v>1.5</v>
      </c>
      <c r="AT34" s="11" t="s">
        <v>7</v>
      </c>
      <c r="AU34" s="10" t="s">
        <v>18</v>
      </c>
    </row>
    <row r="35" spans="1:47" x14ac:dyDescent="0.2">
      <c r="A35">
        <v>5</v>
      </c>
      <c r="B35">
        <v>3.5</v>
      </c>
      <c r="C35">
        <v>1.3</v>
      </c>
      <c r="D35">
        <v>0.3</v>
      </c>
      <c r="E35" s="3" t="s">
        <v>5</v>
      </c>
      <c r="J35" s="2">
        <f>POWER(J$4-A35,2)</f>
        <v>2.2499999999996375E-4</v>
      </c>
      <c r="K35" s="2">
        <f>POWER(K$4-B35,2)</f>
        <v>7.6562499999999842E-3</v>
      </c>
      <c r="L35" s="2">
        <f>POWER(L$4-C35,2)</f>
        <v>2.2499999999999905E-2</v>
      </c>
      <c r="M35" s="2">
        <f>POWER(M$4-D35,2)</f>
        <v>2.5000000000000157E-3</v>
      </c>
      <c r="N35" s="7">
        <f t="shared" si="3"/>
        <v>0.18133187805788553</v>
      </c>
      <c r="O35" s="2">
        <f>POWER(O$4-A35,2)</f>
        <v>0.35521599999999903</v>
      </c>
      <c r="P35" s="2">
        <f>POWER(P$4-B35,2)</f>
        <v>0.71233600000000052</v>
      </c>
      <c r="Q35" s="2">
        <f>POWER(Q$4-C35,2)</f>
        <v>7.3766560000000014</v>
      </c>
      <c r="R35" s="2">
        <f>POWER(R$4-D35,2)</f>
        <v>0.88359999999999994</v>
      </c>
      <c r="S35" s="7">
        <f t="shared" si="4"/>
        <v>3.0541460344914748</v>
      </c>
      <c r="T35" s="2">
        <f>POWER(T$4-A35,2)</f>
        <v>2.5252099173553626</v>
      </c>
      <c r="U35" s="2">
        <f>POWER(U$4-B35,2)</f>
        <v>0.28768595041322198</v>
      </c>
      <c r="V35" s="2">
        <f>POWER(V$4-C35,2)</f>
        <v>16.189649586776866</v>
      </c>
      <c r="W35" s="2">
        <f>POWER(W$4-D35,2)</f>
        <v>2.4449586776859484</v>
      </c>
      <c r="X35" s="7">
        <f t="shared" si="5"/>
        <v>4.6311450130860079</v>
      </c>
      <c r="Y35" s="9">
        <f t="shared" si="6"/>
        <v>0.18133187805788553</v>
      </c>
      <c r="Z35" t="str">
        <f>IF(Y35=N35,"C1",IF(Y35=S35,"C2",IF(Y35=X35,"C3")))</f>
        <v>C1</v>
      </c>
      <c r="AB35" s="10">
        <v>5.3</v>
      </c>
      <c r="AC35" s="10">
        <v>3.7</v>
      </c>
      <c r="AD35" s="10">
        <v>1.5</v>
      </c>
      <c r="AE35" s="10">
        <v>0.2</v>
      </c>
      <c r="AF35" s="11" t="s">
        <v>5</v>
      </c>
      <c r="AG35" s="10" t="s">
        <v>16</v>
      </c>
      <c r="AP35" s="10">
        <v>6.9</v>
      </c>
      <c r="AQ35" s="10">
        <v>3.2</v>
      </c>
      <c r="AR35" s="10">
        <v>5.7</v>
      </c>
      <c r="AS35" s="10">
        <v>2.2999999999999998</v>
      </c>
      <c r="AT35" s="11" t="s">
        <v>7</v>
      </c>
      <c r="AU35" s="10" t="s">
        <v>18</v>
      </c>
    </row>
    <row r="36" spans="1:47" x14ac:dyDescent="0.2">
      <c r="A36">
        <v>4.5</v>
      </c>
      <c r="B36">
        <v>2.2999999999999998</v>
      </c>
      <c r="C36">
        <v>1.3</v>
      </c>
      <c r="D36">
        <v>0.3</v>
      </c>
      <c r="E36" s="3" t="s">
        <v>5</v>
      </c>
      <c r="J36" s="2">
        <f>POWER(J$4-A36,2)</f>
        <v>0.23522500000000118</v>
      </c>
      <c r="K36" s="2">
        <f>POWER(K$4-B36,2)</f>
        <v>1.2376562500000006</v>
      </c>
      <c r="L36" s="2">
        <f>POWER(L$4-C36,2)</f>
        <v>2.2499999999999905E-2</v>
      </c>
      <c r="M36" s="2">
        <f>POWER(M$4-D36,2)</f>
        <v>2.5000000000000157E-3</v>
      </c>
      <c r="N36" s="7">
        <f t="shared" si="3"/>
        <v>1.2238795896655854</v>
      </c>
      <c r="O36" s="2">
        <f>POWER(O$4-A36,2)</f>
        <v>1.2012159999999983</v>
      </c>
      <c r="P36" s="2">
        <f>POWER(P$4-B36,2)</f>
        <v>0.1267359999999999</v>
      </c>
      <c r="Q36" s="2">
        <f>POWER(Q$4-C36,2)</f>
        <v>7.3766560000000014</v>
      </c>
      <c r="R36" s="2">
        <f>POWER(R$4-D36,2)</f>
        <v>0.88359999999999994</v>
      </c>
      <c r="S36" s="7">
        <f t="shared" si="4"/>
        <v>3.0964831664325256</v>
      </c>
      <c r="T36" s="2">
        <f>POWER(T$4-A36,2)</f>
        <v>4.3643008264462688</v>
      </c>
      <c r="U36" s="2">
        <f>POWER(U$4-B36,2)</f>
        <v>0.44041322314049758</v>
      </c>
      <c r="V36" s="2">
        <f>POWER(V$4-C36,2)</f>
        <v>16.189649586776866</v>
      </c>
      <c r="W36" s="2">
        <f>POWER(W$4-D36,2)</f>
        <v>2.4449586776859484</v>
      </c>
      <c r="X36" s="7">
        <f t="shared" si="5"/>
        <v>4.8414173868867767</v>
      </c>
      <c r="Y36" s="9">
        <f t="shared" si="6"/>
        <v>1.2238795896655854</v>
      </c>
      <c r="Z36" t="str">
        <f>IF(Y36=N36,"C1",IF(Y36=S36,"C2",IF(Y36=X36,"C3")))</f>
        <v>C1</v>
      </c>
      <c r="AB36" s="10">
        <v>5</v>
      </c>
      <c r="AC36" s="10">
        <v>3.3</v>
      </c>
      <c r="AD36" s="10">
        <v>1.4</v>
      </c>
      <c r="AE36" s="10">
        <v>0.2</v>
      </c>
      <c r="AF36" s="11" t="s">
        <v>5</v>
      </c>
      <c r="AG36" s="10" t="s">
        <v>16</v>
      </c>
      <c r="AP36" s="10">
        <v>5.6</v>
      </c>
      <c r="AQ36" s="10">
        <v>2.8</v>
      </c>
      <c r="AR36" s="10">
        <v>4.9000000000000004</v>
      </c>
      <c r="AS36" s="10">
        <v>2</v>
      </c>
      <c r="AT36" s="11" t="s">
        <v>7</v>
      </c>
      <c r="AU36" s="10" t="s">
        <v>18</v>
      </c>
    </row>
    <row r="37" spans="1:47" x14ac:dyDescent="0.2">
      <c r="A37">
        <v>4.4000000000000004</v>
      </c>
      <c r="B37">
        <v>3.2</v>
      </c>
      <c r="C37">
        <v>1.3</v>
      </c>
      <c r="D37">
        <v>0.2</v>
      </c>
      <c r="E37" s="3" t="s">
        <v>5</v>
      </c>
      <c r="J37" s="2">
        <f>POWER(J$4-A37,2)</f>
        <v>0.342225000000001</v>
      </c>
      <c r="K37" s="2">
        <f>POWER(K$4-B37,2)</f>
        <v>4.515624999999996E-2</v>
      </c>
      <c r="L37" s="2">
        <f>POWER(L$4-C37,2)</f>
        <v>2.2499999999999905E-2</v>
      </c>
      <c r="M37" s="2">
        <f>POWER(M$4-D37,2)</f>
        <v>2.4999999999999823E-3</v>
      </c>
      <c r="N37" s="7">
        <f t="shared" si="3"/>
        <v>0.64216917552931552</v>
      </c>
      <c r="O37" s="2">
        <f>POWER(O$4-A37,2)</f>
        <v>1.4304159999999972</v>
      </c>
      <c r="P37" s="2">
        <f>POWER(P$4-B37,2)</f>
        <v>0.29593600000000053</v>
      </c>
      <c r="Q37" s="2">
        <f>POWER(Q$4-C37,2)</f>
        <v>7.3766560000000014</v>
      </c>
      <c r="R37" s="2">
        <f>POWER(R$4-D37,2)</f>
        <v>1.0816000000000001</v>
      </c>
      <c r="S37" s="7">
        <f t="shared" si="4"/>
        <v>3.1913332637002987</v>
      </c>
      <c r="T37" s="2">
        <f>POWER(T$4-A37,2)</f>
        <v>4.7921190082644483</v>
      </c>
      <c r="U37" s="2">
        <f>POWER(U$4-B37,2)</f>
        <v>5.586776859504089E-2</v>
      </c>
      <c r="V37" s="2">
        <f>POWER(V$4-C37,2)</f>
        <v>16.189649586776866</v>
      </c>
      <c r="W37" s="2">
        <f>POWER(W$4-D37,2)</f>
        <v>2.7676859504132216</v>
      </c>
      <c r="X37" s="7">
        <f t="shared" si="5"/>
        <v>4.8790698205753911</v>
      </c>
      <c r="Y37" s="9">
        <f t="shared" si="6"/>
        <v>0.64216917552931552</v>
      </c>
      <c r="Z37" t="str">
        <f>IF(Y37=N37,"C1",IF(Y37=S37,"C2",IF(Y37=X37,"C3")))</f>
        <v>C1</v>
      </c>
      <c r="AB37" s="10">
        <v>5</v>
      </c>
      <c r="AC37" s="10">
        <v>3.4</v>
      </c>
      <c r="AD37" s="10">
        <v>1.5</v>
      </c>
      <c r="AE37" s="10">
        <v>0.2</v>
      </c>
      <c r="AF37" s="11" t="s">
        <v>5</v>
      </c>
      <c r="AG37" s="10" t="s">
        <v>16</v>
      </c>
      <c r="AP37" s="10">
        <v>7.7</v>
      </c>
      <c r="AQ37" s="10">
        <v>2.8</v>
      </c>
      <c r="AR37" s="10">
        <v>6.7</v>
      </c>
      <c r="AS37" s="10">
        <v>2</v>
      </c>
      <c r="AT37" s="11" t="s">
        <v>7</v>
      </c>
      <c r="AU37" s="10" t="s">
        <v>18</v>
      </c>
    </row>
    <row r="38" spans="1:47" x14ac:dyDescent="0.2">
      <c r="A38">
        <v>5</v>
      </c>
      <c r="B38">
        <v>3.5</v>
      </c>
      <c r="C38">
        <v>1.6</v>
      </c>
      <c r="D38">
        <v>0.6</v>
      </c>
      <c r="E38" s="3" t="s">
        <v>5</v>
      </c>
      <c r="J38" s="2">
        <f>POWER(J$4-A38,2)</f>
        <v>2.2499999999996375E-4</v>
      </c>
      <c r="K38" s="2">
        <f>POWER(K$4-B38,2)</f>
        <v>7.6562499999999842E-3</v>
      </c>
      <c r="L38" s="2">
        <f>POWER(L$4-C38,2)</f>
        <v>2.2500000000000107E-2</v>
      </c>
      <c r="M38" s="2">
        <f>POWER(M$4-D38,2)</f>
        <v>0.12250000000000009</v>
      </c>
      <c r="N38" s="7">
        <f t="shared" si="3"/>
        <v>0.39100031969296412</v>
      </c>
      <c r="O38" s="2">
        <f>POWER(O$4-A38,2)</f>
        <v>0.35521599999999903</v>
      </c>
      <c r="P38" s="2">
        <f>POWER(P$4-B38,2)</f>
        <v>0.71233600000000052</v>
      </c>
      <c r="Q38" s="2">
        <f>POWER(Q$4-C38,2)</f>
        <v>5.8370559999999996</v>
      </c>
      <c r="R38" s="2">
        <f>POWER(R$4-D38,2)</f>
        <v>0.40960000000000002</v>
      </c>
      <c r="S38" s="7">
        <f t="shared" si="4"/>
        <v>2.7044792474707586</v>
      </c>
      <c r="T38" s="2">
        <f>POWER(T$4-A38,2)</f>
        <v>2.5252099173553626</v>
      </c>
      <c r="U38" s="2">
        <f>POWER(U$4-B38,2)</f>
        <v>0.28768595041322198</v>
      </c>
      <c r="V38" s="2">
        <f>POWER(V$4-C38,2)</f>
        <v>13.865467768595044</v>
      </c>
      <c r="W38" s="2">
        <f>POWER(W$4-D38,2)</f>
        <v>1.5967768595041312</v>
      </c>
      <c r="X38" s="7">
        <f t="shared" si="5"/>
        <v>4.2749433324744501</v>
      </c>
      <c r="Y38" s="9">
        <f t="shared" si="6"/>
        <v>0.39100031969296412</v>
      </c>
      <c r="Z38" t="str">
        <f>IF(Y38=N38,"C1",IF(Y38=S38,"C2",IF(Y38=X38,"C3")))</f>
        <v>C1</v>
      </c>
      <c r="AB38" s="10">
        <v>4.4000000000000004</v>
      </c>
      <c r="AC38" s="10">
        <v>2.9</v>
      </c>
      <c r="AD38" s="10">
        <v>1.4</v>
      </c>
      <c r="AE38" s="10">
        <v>0.2</v>
      </c>
      <c r="AF38" s="11" t="s">
        <v>5</v>
      </c>
      <c r="AG38" s="10" t="s">
        <v>16</v>
      </c>
      <c r="AP38" s="10">
        <v>6.3</v>
      </c>
      <c r="AQ38" s="10">
        <v>2.7</v>
      </c>
      <c r="AR38" s="10">
        <v>4.9000000000000004</v>
      </c>
      <c r="AS38" s="10">
        <v>1.8</v>
      </c>
      <c r="AT38" s="11" t="s">
        <v>7</v>
      </c>
      <c r="AU38" s="10" t="s">
        <v>18</v>
      </c>
    </row>
    <row r="39" spans="1:47" x14ac:dyDescent="0.2">
      <c r="A39">
        <v>5.0999999999999996</v>
      </c>
      <c r="B39">
        <v>3.8</v>
      </c>
      <c r="C39">
        <v>1.9</v>
      </c>
      <c r="D39">
        <v>0.4</v>
      </c>
      <c r="E39" s="3" t="s">
        <v>5</v>
      </c>
      <c r="J39" s="2">
        <f>POWER(J$4-A39,2)</f>
        <v>1.322499999999964E-2</v>
      </c>
      <c r="K39" s="2">
        <f>POWER(K$4-B39,2)</f>
        <v>0.1501562499999998</v>
      </c>
      <c r="L39" s="2">
        <f>POWER(L$4-C39,2)</f>
        <v>0.20250000000000015</v>
      </c>
      <c r="M39" s="2">
        <f>POWER(M$4-D39,2)</f>
        <v>2.2500000000000058E-2</v>
      </c>
      <c r="N39" s="7">
        <f t="shared" si="3"/>
        <v>0.6232024149503913</v>
      </c>
      <c r="O39" s="2">
        <f>POWER(O$4-A39,2)</f>
        <v>0.24601599999999957</v>
      </c>
      <c r="P39" s="2">
        <f>POWER(P$4-B39,2)</f>
        <v>1.3087360000000003</v>
      </c>
      <c r="Q39" s="2">
        <f>POWER(Q$4-C39,2)</f>
        <v>4.4774560000000001</v>
      </c>
      <c r="R39" s="2">
        <f>POWER(R$4-D39,2)</f>
        <v>0.70559999999999989</v>
      </c>
      <c r="S39" s="7">
        <f t="shared" si="4"/>
        <v>2.5957287993933416</v>
      </c>
      <c r="T39" s="2">
        <f>POWER(T$4-A39,2)</f>
        <v>2.2173917355371824</v>
      </c>
      <c r="U39" s="2">
        <f>POWER(U$4-B39,2)</f>
        <v>0.69950413223140284</v>
      </c>
      <c r="V39" s="2">
        <f>POWER(V$4-C39,2)</f>
        <v>11.721285950413227</v>
      </c>
      <c r="W39" s="2">
        <f>POWER(W$4-D39,2)</f>
        <v>2.1422314049586757</v>
      </c>
      <c r="X39" s="7">
        <f t="shared" si="5"/>
        <v>4.0963902674355248</v>
      </c>
      <c r="Y39" s="9">
        <f t="shared" si="6"/>
        <v>0.6232024149503913</v>
      </c>
      <c r="Z39" t="str">
        <f>IF(Y39=N39,"C1",IF(Y39=S39,"C2",IF(Y39=X39,"C3")))</f>
        <v>C1</v>
      </c>
      <c r="AB39" s="10">
        <v>4.9000000000000004</v>
      </c>
      <c r="AC39" s="10">
        <v>3.1</v>
      </c>
      <c r="AD39" s="10">
        <v>1.5</v>
      </c>
      <c r="AE39" s="10">
        <v>0.1</v>
      </c>
      <c r="AF39" s="11" t="s">
        <v>5</v>
      </c>
      <c r="AG39" s="10" t="s">
        <v>16</v>
      </c>
      <c r="AP39" s="10">
        <v>6.7</v>
      </c>
      <c r="AQ39" s="10">
        <v>3.3</v>
      </c>
      <c r="AR39" s="10">
        <v>5.7</v>
      </c>
      <c r="AS39" s="10">
        <v>2.1</v>
      </c>
      <c r="AT39" s="11" t="s">
        <v>7</v>
      </c>
      <c r="AU39" s="10" t="s">
        <v>18</v>
      </c>
    </row>
    <row r="40" spans="1:47" x14ac:dyDescent="0.2">
      <c r="A40">
        <v>4.8</v>
      </c>
      <c r="B40">
        <v>3</v>
      </c>
      <c r="C40">
        <v>1.4</v>
      </c>
      <c r="D40">
        <v>0.3</v>
      </c>
      <c r="E40" s="3" t="s">
        <v>5</v>
      </c>
      <c r="J40" s="2">
        <f>POWER(J$4-A40,2)</f>
        <v>3.4225000000000512E-2</v>
      </c>
      <c r="K40" s="2">
        <f>POWER(K$4-B40,2)</f>
        <v>0.17015625000000006</v>
      </c>
      <c r="L40" s="2">
        <f>POWER(L$4-C40,2)</f>
        <v>2.4999999999999823E-3</v>
      </c>
      <c r="M40" s="2">
        <f>POWER(M$4-D40,2)</f>
        <v>2.5000000000000157E-3</v>
      </c>
      <c r="N40" s="7">
        <f t="shared" si="3"/>
        <v>0.45758195987167211</v>
      </c>
      <c r="O40" s="2">
        <f>POWER(O$4-A40,2)</f>
        <v>0.63361599999999896</v>
      </c>
      <c r="P40" s="2">
        <f>POWER(P$4-B40,2)</f>
        <v>0.1183360000000002</v>
      </c>
      <c r="Q40" s="2">
        <f>POWER(Q$4-C40,2)</f>
        <v>6.8434560000000006</v>
      </c>
      <c r="R40" s="2">
        <f>POWER(R$4-D40,2)</f>
        <v>0.88359999999999994</v>
      </c>
      <c r="S40" s="7">
        <f t="shared" si="4"/>
        <v>2.9118736236313554</v>
      </c>
      <c r="T40" s="2">
        <f>POWER(T$4-A40,2)</f>
        <v>3.2008462809917257</v>
      </c>
      <c r="U40" s="2">
        <f>POWER(U$4-B40,2)</f>
        <v>1.3223140495866969E-3</v>
      </c>
      <c r="V40" s="2">
        <f>POWER(V$4-C40,2)</f>
        <v>15.394922314049591</v>
      </c>
      <c r="W40" s="2">
        <f>POWER(W$4-D40,2)</f>
        <v>2.4449586776859484</v>
      </c>
      <c r="X40" s="7">
        <f t="shared" si="5"/>
        <v>4.587161386606847</v>
      </c>
      <c r="Y40" s="9">
        <f t="shared" si="6"/>
        <v>0.45758195987167211</v>
      </c>
      <c r="Z40" t="str">
        <f>IF(Y40=N40,"C1",IF(Y40=S40,"C2",IF(Y40=X40,"C3")))</f>
        <v>C1</v>
      </c>
      <c r="AB40" s="10">
        <v>5.4</v>
      </c>
      <c r="AC40" s="10">
        <v>3.7</v>
      </c>
      <c r="AD40" s="10">
        <v>1.5</v>
      </c>
      <c r="AE40" s="10">
        <v>0.2</v>
      </c>
      <c r="AF40" s="11" t="s">
        <v>5</v>
      </c>
      <c r="AG40" s="10" t="s">
        <v>16</v>
      </c>
      <c r="AP40" s="10">
        <v>7.2</v>
      </c>
      <c r="AQ40" s="10">
        <v>3.2</v>
      </c>
      <c r="AR40" s="10">
        <v>6</v>
      </c>
      <c r="AS40" s="10">
        <v>1.8</v>
      </c>
      <c r="AT40" s="11" t="s">
        <v>7</v>
      </c>
      <c r="AU40" s="10" t="s">
        <v>18</v>
      </c>
    </row>
    <row r="41" spans="1:47" x14ac:dyDescent="0.2">
      <c r="A41">
        <v>5.0999999999999996</v>
      </c>
      <c r="B41">
        <v>3.8</v>
      </c>
      <c r="C41">
        <v>1.6</v>
      </c>
      <c r="D41">
        <v>0.2</v>
      </c>
      <c r="E41" s="3" t="s">
        <v>5</v>
      </c>
      <c r="J41" s="2">
        <f>POWER(J$4-A41,2)</f>
        <v>1.322499999999964E-2</v>
      </c>
      <c r="K41" s="2">
        <f>POWER(K$4-B41,2)</f>
        <v>0.1501562499999998</v>
      </c>
      <c r="L41" s="2">
        <f>POWER(L$4-C41,2)</f>
        <v>2.2500000000000107E-2</v>
      </c>
      <c r="M41" s="2">
        <f>POWER(M$4-D41,2)</f>
        <v>2.4999999999999823E-3</v>
      </c>
      <c r="N41" s="7">
        <f t="shared" si="3"/>
        <v>0.434029088886908</v>
      </c>
      <c r="O41" s="2">
        <f>POWER(O$4-A41,2)</f>
        <v>0.24601599999999957</v>
      </c>
      <c r="P41" s="2">
        <f>POWER(P$4-B41,2)</f>
        <v>1.3087360000000003</v>
      </c>
      <c r="Q41" s="2">
        <f>POWER(Q$4-C41,2)</f>
        <v>5.8370559999999996</v>
      </c>
      <c r="R41" s="2">
        <f>POWER(R$4-D41,2)</f>
        <v>1.0816000000000001</v>
      </c>
      <c r="S41" s="7">
        <f t="shared" si="4"/>
        <v>2.9109118846162279</v>
      </c>
      <c r="T41" s="2">
        <f>POWER(T$4-A41,2)</f>
        <v>2.2173917355371824</v>
      </c>
      <c r="U41" s="2">
        <f>POWER(U$4-B41,2)</f>
        <v>0.69950413223140284</v>
      </c>
      <c r="V41" s="2">
        <f>POWER(V$4-C41,2)</f>
        <v>13.865467768595044</v>
      </c>
      <c r="W41" s="2">
        <f>POWER(W$4-D41,2)</f>
        <v>2.7676859504132216</v>
      </c>
      <c r="X41" s="7">
        <f t="shared" si="5"/>
        <v>4.4215438012957478</v>
      </c>
      <c r="Y41" s="9">
        <f t="shared" si="6"/>
        <v>0.434029088886908</v>
      </c>
      <c r="Z41" t="str">
        <f>IF(Y41=N41,"C1",IF(Y41=S41,"C2",IF(Y41=X41,"C3")))</f>
        <v>C1</v>
      </c>
      <c r="AB41" s="10">
        <v>4.8</v>
      </c>
      <c r="AC41" s="10">
        <v>3.4</v>
      </c>
      <c r="AD41" s="10">
        <v>1.6</v>
      </c>
      <c r="AE41" s="10">
        <v>0.2</v>
      </c>
      <c r="AF41" s="11" t="s">
        <v>5</v>
      </c>
      <c r="AG41" s="10" t="s">
        <v>16</v>
      </c>
      <c r="AP41" s="10">
        <v>6.2</v>
      </c>
      <c r="AQ41" s="10">
        <v>2.8</v>
      </c>
      <c r="AR41" s="10">
        <v>4.8</v>
      </c>
      <c r="AS41" s="10">
        <v>1.8</v>
      </c>
      <c r="AT41" s="11" t="s">
        <v>7</v>
      </c>
      <c r="AU41" s="10" t="s">
        <v>18</v>
      </c>
    </row>
    <row r="42" spans="1:47" x14ac:dyDescent="0.2">
      <c r="A42">
        <v>4.5999999999999996</v>
      </c>
      <c r="B42">
        <v>3.2</v>
      </c>
      <c r="C42">
        <v>1.4</v>
      </c>
      <c r="D42">
        <v>0.2</v>
      </c>
      <c r="E42" s="3" t="s">
        <v>5</v>
      </c>
      <c r="J42" s="2">
        <f>POWER(J$4-A42,2)</f>
        <v>0.14822500000000122</v>
      </c>
      <c r="K42" s="2">
        <f>POWER(K$4-B42,2)</f>
        <v>4.515624999999996E-2</v>
      </c>
      <c r="L42" s="2">
        <f>POWER(L$4-C42,2)</f>
        <v>2.4999999999999823E-3</v>
      </c>
      <c r="M42" s="2">
        <f>POWER(M$4-D42,2)</f>
        <v>2.4999999999999823E-3</v>
      </c>
      <c r="N42" s="7">
        <f t="shared" si="3"/>
        <v>0.44540010103276934</v>
      </c>
      <c r="O42" s="2">
        <f>POWER(O$4-A42,2)</f>
        <v>0.99201599999999912</v>
      </c>
      <c r="P42" s="2">
        <f>POWER(P$4-B42,2)</f>
        <v>0.29593600000000053</v>
      </c>
      <c r="Q42" s="2">
        <f>POWER(Q$4-C42,2)</f>
        <v>6.8434560000000006</v>
      </c>
      <c r="R42" s="2">
        <f>POWER(R$4-D42,2)</f>
        <v>1.0816000000000001</v>
      </c>
      <c r="S42" s="7">
        <f t="shared" si="4"/>
        <v>3.0352937254901708</v>
      </c>
      <c r="T42" s="2">
        <f>POWER(T$4-A42,2)</f>
        <v>3.956482644628089</v>
      </c>
      <c r="U42" s="2">
        <f>POWER(U$4-B42,2)</f>
        <v>5.586776859504089E-2</v>
      </c>
      <c r="V42" s="2">
        <f>POWER(V$4-C42,2)</f>
        <v>15.394922314049591</v>
      </c>
      <c r="W42" s="2">
        <f>POWER(W$4-D42,2)</f>
        <v>2.7676859504132216</v>
      </c>
      <c r="X42" s="7">
        <f t="shared" si="5"/>
        <v>4.7090294836288651</v>
      </c>
      <c r="Y42" s="9">
        <f t="shared" si="6"/>
        <v>0.44540010103276934</v>
      </c>
      <c r="Z42" t="str">
        <f>IF(Y42=N42,"C1",IF(Y42=S42,"C2",IF(Y42=X42,"C3")))</f>
        <v>C1</v>
      </c>
      <c r="AB42" s="10">
        <v>4.8</v>
      </c>
      <c r="AC42" s="10">
        <v>3</v>
      </c>
      <c r="AD42" s="10">
        <v>1.4</v>
      </c>
      <c r="AE42" s="10">
        <v>0.1</v>
      </c>
      <c r="AF42" s="11" t="s">
        <v>5</v>
      </c>
      <c r="AG42" s="10" t="s">
        <v>16</v>
      </c>
      <c r="AP42" s="10">
        <v>6.1</v>
      </c>
      <c r="AQ42" s="10">
        <v>3</v>
      </c>
      <c r="AR42" s="10">
        <v>4.9000000000000004</v>
      </c>
      <c r="AS42" s="10">
        <v>1.8</v>
      </c>
      <c r="AT42" s="11" t="s">
        <v>7</v>
      </c>
      <c r="AU42" s="10" t="s">
        <v>18</v>
      </c>
    </row>
    <row r="43" spans="1:47" x14ac:dyDescent="0.2">
      <c r="A43">
        <v>5.3</v>
      </c>
      <c r="B43">
        <v>3.7</v>
      </c>
      <c r="C43">
        <v>1.5</v>
      </c>
      <c r="D43">
        <v>0.2</v>
      </c>
      <c r="E43" s="3" t="s">
        <v>5</v>
      </c>
      <c r="J43" s="2">
        <f>POWER(J$4-A43,2)</f>
        <v>9.9224999999999133E-2</v>
      </c>
      <c r="K43" s="2">
        <f>POWER(K$4-B43,2)</f>
        <v>8.2656250000000056E-2</v>
      </c>
      <c r="L43" s="2">
        <f>POWER(L$4-C43,2)</f>
        <v>2.5000000000000265E-3</v>
      </c>
      <c r="M43" s="2">
        <f>POWER(M$4-D43,2)</f>
        <v>2.4999999999999823E-3</v>
      </c>
      <c r="N43" s="7">
        <f t="shared" si="3"/>
        <v>0.43229764052097158</v>
      </c>
      <c r="O43" s="2">
        <f>POWER(O$4-A43,2)</f>
        <v>8.7615999999999625E-2</v>
      </c>
      <c r="P43" s="2">
        <f>POWER(P$4-B43,2)</f>
        <v>1.0899360000000009</v>
      </c>
      <c r="Q43" s="2">
        <f>POWER(Q$4-C43,2)</f>
        <v>6.3302560000000003</v>
      </c>
      <c r="R43" s="2">
        <f>POWER(R$4-D43,2)</f>
        <v>1.0816000000000001</v>
      </c>
      <c r="S43" s="7">
        <f t="shared" si="4"/>
        <v>2.9307691823137492</v>
      </c>
      <c r="T43" s="2">
        <f>POWER(T$4-A43,2)</f>
        <v>1.6617553719008196</v>
      </c>
      <c r="U43" s="2">
        <f>POWER(U$4-B43,2)</f>
        <v>0.54223140495867628</v>
      </c>
      <c r="V43" s="2">
        <f>POWER(V$4-C43,2)</f>
        <v>14.620195041322319</v>
      </c>
      <c r="W43" s="2">
        <f>POWER(W$4-D43,2)</f>
        <v>2.7676859504132216</v>
      </c>
      <c r="X43" s="7">
        <f t="shared" si="5"/>
        <v>4.4262701870305019</v>
      </c>
      <c r="Y43" s="9">
        <f t="shared" si="6"/>
        <v>0.43229764052097158</v>
      </c>
      <c r="Z43" t="str">
        <f>IF(Y43=N43,"C1",IF(Y43=S43,"C2",IF(Y43=X43,"C3")))</f>
        <v>C1</v>
      </c>
      <c r="AB43" s="10">
        <v>4.3</v>
      </c>
      <c r="AC43" s="10">
        <v>3</v>
      </c>
      <c r="AD43" s="10">
        <v>1.1000000000000001</v>
      </c>
      <c r="AE43" s="10">
        <v>0.1</v>
      </c>
      <c r="AF43" s="11" t="s">
        <v>5</v>
      </c>
      <c r="AG43" s="10" t="s">
        <v>16</v>
      </c>
      <c r="AP43" s="10">
        <v>6.4</v>
      </c>
      <c r="AQ43" s="10">
        <v>2.8</v>
      </c>
      <c r="AR43" s="10">
        <v>5.6</v>
      </c>
      <c r="AS43" s="10">
        <v>2.1</v>
      </c>
      <c r="AT43" s="11" t="s">
        <v>7</v>
      </c>
      <c r="AU43" s="10" t="s">
        <v>18</v>
      </c>
    </row>
    <row r="44" spans="1:47" x14ac:dyDescent="0.2">
      <c r="A44">
        <v>5</v>
      </c>
      <c r="B44">
        <v>3.3</v>
      </c>
      <c r="C44">
        <v>1.4</v>
      </c>
      <c r="D44">
        <v>0.2</v>
      </c>
      <c r="E44" s="3" t="s">
        <v>5</v>
      </c>
      <c r="J44" s="2">
        <f>POWER(J$4-A44,2)</f>
        <v>2.2499999999996375E-4</v>
      </c>
      <c r="K44" s="2">
        <f>POWER(K$4-B44,2)</f>
        <v>1.265625000000006E-2</v>
      </c>
      <c r="L44" s="2">
        <f>POWER(L$4-C44,2)</f>
        <v>2.4999999999999823E-3</v>
      </c>
      <c r="M44" s="2">
        <f>POWER(M$4-D44,2)</f>
        <v>2.4999999999999823E-3</v>
      </c>
      <c r="N44" s="7">
        <f t="shared" si="3"/>
        <v>0.13372079120316327</v>
      </c>
      <c r="O44" s="2">
        <f>POWER(O$4-A44,2)</f>
        <v>0.35521599999999903</v>
      </c>
      <c r="P44" s="2">
        <f>POWER(P$4-B44,2)</f>
        <v>0.41473600000000016</v>
      </c>
      <c r="Q44" s="2">
        <f>POWER(Q$4-C44,2)</f>
        <v>6.8434560000000006</v>
      </c>
      <c r="R44" s="2">
        <f>POWER(R$4-D44,2)</f>
        <v>1.0816000000000001</v>
      </c>
      <c r="S44" s="7">
        <f t="shared" si="4"/>
        <v>2.948729896073901</v>
      </c>
      <c r="T44" s="2">
        <f>POWER(T$4-A44,2)</f>
        <v>2.5252099173553626</v>
      </c>
      <c r="U44" s="2">
        <f>POWER(U$4-B44,2)</f>
        <v>0.11314049586776774</v>
      </c>
      <c r="V44" s="2">
        <f>POWER(V$4-C44,2)</f>
        <v>15.394922314049591</v>
      </c>
      <c r="W44" s="2">
        <f>POWER(W$4-D44,2)</f>
        <v>2.7676859504132216</v>
      </c>
      <c r="X44" s="7">
        <f t="shared" si="5"/>
        <v>4.5608068011795835</v>
      </c>
      <c r="Y44" s="9">
        <f t="shared" si="6"/>
        <v>0.13372079120316327</v>
      </c>
      <c r="Z44" t="str">
        <f>IF(Y44=N44,"C1",IF(Y44=S44,"C2",IF(Y44=X44,"C3")))</f>
        <v>C1</v>
      </c>
      <c r="AP44" s="10">
        <v>7.2</v>
      </c>
      <c r="AQ44" s="10">
        <v>3</v>
      </c>
      <c r="AR44" s="10">
        <v>5.8</v>
      </c>
      <c r="AS44" s="10">
        <v>1.6</v>
      </c>
      <c r="AT44" s="11" t="s">
        <v>7</v>
      </c>
      <c r="AU44" s="10" t="s">
        <v>18</v>
      </c>
    </row>
    <row r="45" spans="1:47" x14ac:dyDescent="0.2">
      <c r="A45">
        <v>7</v>
      </c>
      <c r="B45">
        <v>3.2</v>
      </c>
      <c r="C45">
        <v>4.7</v>
      </c>
      <c r="D45">
        <v>1.4</v>
      </c>
      <c r="E45" s="3" t="s">
        <v>6</v>
      </c>
      <c r="J45" s="2">
        <f>POWER(J$4-A45,2)</f>
        <v>4.0602249999999955</v>
      </c>
      <c r="K45" s="2">
        <f>POWER(K$4-B45,2)</f>
        <v>4.515624999999996E-2</v>
      </c>
      <c r="L45" s="2">
        <f>POWER(L$4-C45,2)</f>
        <v>10.562500000000004</v>
      </c>
      <c r="M45" s="2">
        <f>POWER(M$4-D45,2)</f>
        <v>1.3225000000000002</v>
      </c>
      <c r="N45" s="7">
        <f t="shared" si="3"/>
        <v>3.9987974754918509</v>
      </c>
      <c r="O45" s="2">
        <f>POWER(O$4-A45,2)</f>
        <v>1.9712160000000023</v>
      </c>
      <c r="P45" s="2">
        <f>POWER(P$4-B45,2)</f>
        <v>0.29593600000000053</v>
      </c>
      <c r="Q45" s="2">
        <f>POWER(Q$4-C45,2)</f>
        <v>0.46785600000000022</v>
      </c>
      <c r="R45" s="2">
        <f>POWER(R$4-D45,2)</f>
        <v>2.5599999999999973E-2</v>
      </c>
      <c r="S45" s="7">
        <f t="shared" si="4"/>
        <v>1.661507749003899</v>
      </c>
      <c r="T45" s="2">
        <f>POWER(T$4-A45,2)</f>
        <v>0.1688462809917379</v>
      </c>
      <c r="U45" s="2">
        <f>POWER(U$4-B45,2)</f>
        <v>5.586776859504089E-2</v>
      </c>
      <c r="V45" s="2">
        <f>POWER(V$4-C45,2)</f>
        <v>0.38892231404958721</v>
      </c>
      <c r="W45" s="2">
        <f>POWER(W$4-D45,2)</f>
        <v>0.21495867768594998</v>
      </c>
      <c r="X45" s="7">
        <f t="shared" si="5"/>
        <v>0.91027196008792666</v>
      </c>
      <c r="Y45" s="9">
        <f t="shared" si="6"/>
        <v>0.91027196008792666</v>
      </c>
      <c r="Z45" t="str">
        <f>IF(Y45=N45,"C1",IF(Y45=S45,"C2",IF(Y45=X45,"C3")))</f>
        <v>C3</v>
      </c>
      <c r="AP45" s="10">
        <v>7.4</v>
      </c>
      <c r="AQ45" s="10">
        <v>2.8</v>
      </c>
      <c r="AR45" s="10">
        <v>6.1</v>
      </c>
      <c r="AS45" s="10">
        <v>1.9</v>
      </c>
      <c r="AT45" s="11" t="s">
        <v>7</v>
      </c>
      <c r="AU45" s="10" t="s">
        <v>18</v>
      </c>
    </row>
    <row r="46" spans="1:47" x14ac:dyDescent="0.2">
      <c r="A46">
        <v>6.4</v>
      </c>
      <c r="B46">
        <v>3.2</v>
      </c>
      <c r="C46">
        <v>4.5</v>
      </c>
      <c r="D46">
        <v>1.5</v>
      </c>
      <c r="E46" s="3" t="s">
        <v>6</v>
      </c>
      <c r="J46" s="2">
        <f>POWER(J$4-A46,2)</f>
        <v>2.0022249999999975</v>
      </c>
      <c r="K46" s="2">
        <f>POWER(K$4-B46,2)</f>
        <v>4.515624999999996E-2</v>
      </c>
      <c r="L46" s="2">
        <f>POWER(L$4-C46,2)</f>
        <v>9.302500000000002</v>
      </c>
      <c r="M46" s="2">
        <f>POWER(M$4-D46,2)</f>
        <v>1.5625000000000007</v>
      </c>
      <c r="N46" s="7">
        <f t="shared" si="3"/>
        <v>3.5933801983647653</v>
      </c>
      <c r="O46" s="2">
        <f>POWER(O$4-A46,2)</f>
        <v>0.64641600000000188</v>
      </c>
      <c r="P46" s="2">
        <f>POWER(P$4-B46,2)</f>
        <v>0.29593600000000053</v>
      </c>
      <c r="Q46" s="2">
        <f>POWER(Q$4-C46,2)</f>
        <v>0.23425599999999999</v>
      </c>
      <c r="R46" s="2">
        <f>POWER(R$4-D46,2)</f>
        <v>6.7600000000000007E-2</v>
      </c>
      <c r="S46" s="7">
        <f t="shared" si="4"/>
        <v>1.1154407200743581</v>
      </c>
      <c r="T46" s="2">
        <f>POWER(T$4-A46,2)</f>
        <v>3.5755371900825228E-2</v>
      </c>
      <c r="U46" s="2">
        <f>POWER(U$4-B46,2)</f>
        <v>5.586776859504089E-2</v>
      </c>
      <c r="V46" s="2">
        <f>POWER(V$4-C46,2)</f>
        <v>0.67837685950413307</v>
      </c>
      <c r="W46" s="2">
        <f>POWER(W$4-D46,2)</f>
        <v>0.1322314049586773</v>
      </c>
      <c r="X46" s="7">
        <f t="shared" si="5"/>
        <v>0.94985862366916285</v>
      </c>
      <c r="Y46" s="9">
        <f t="shared" si="6"/>
        <v>0.94985862366916285</v>
      </c>
      <c r="Z46" t="str">
        <f>IF(Y46=N46,"C1",IF(Y46=S46,"C2",IF(Y46=X46,"C3")))</f>
        <v>C3</v>
      </c>
      <c r="AP46" s="10">
        <v>7.9</v>
      </c>
      <c r="AQ46" s="10">
        <v>3.8</v>
      </c>
      <c r="AR46" s="10">
        <v>6.4</v>
      </c>
      <c r="AS46" s="10">
        <v>2</v>
      </c>
      <c r="AT46" s="11" t="s">
        <v>7</v>
      </c>
      <c r="AU46" s="10" t="s">
        <v>18</v>
      </c>
    </row>
    <row r="47" spans="1:47" x14ac:dyDescent="0.2">
      <c r="A47">
        <v>6.9</v>
      </c>
      <c r="B47">
        <v>3.1</v>
      </c>
      <c r="C47">
        <v>4.9000000000000004</v>
      </c>
      <c r="D47">
        <v>1.5</v>
      </c>
      <c r="E47" s="3" t="s">
        <v>6</v>
      </c>
      <c r="J47" s="2">
        <f>POWER(J$4-A47,2)</f>
        <v>3.6672249999999966</v>
      </c>
      <c r="K47" s="2">
        <f>POWER(K$4-B47,2)</f>
        <v>9.765625E-2</v>
      </c>
      <c r="L47" s="2">
        <f>POWER(L$4-C47,2)</f>
        <v>11.902500000000003</v>
      </c>
      <c r="M47" s="2">
        <f>POWER(M$4-D47,2)</f>
        <v>1.5625000000000007</v>
      </c>
      <c r="N47" s="7">
        <f t="shared" si="3"/>
        <v>4.150889211964107</v>
      </c>
      <c r="O47" s="2">
        <f>POWER(O$4-A47,2)</f>
        <v>1.700416000000003</v>
      </c>
      <c r="P47" s="2">
        <f>POWER(P$4-B47,2)</f>
        <v>0.19713600000000034</v>
      </c>
      <c r="Q47" s="2">
        <f>POWER(Q$4-C47,2)</f>
        <v>0.78145600000000059</v>
      </c>
      <c r="R47" s="2">
        <f>POWER(R$4-D47,2)</f>
        <v>6.7600000000000007E-2</v>
      </c>
      <c r="S47" s="7">
        <f t="shared" si="4"/>
        <v>1.6572893531305883</v>
      </c>
      <c r="T47" s="2">
        <f>POWER(T$4-A47,2)</f>
        <v>9.666446280991936E-2</v>
      </c>
      <c r="U47" s="2">
        <f>POWER(U$4-B47,2)</f>
        <v>1.8595041322313776E-2</v>
      </c>
      <c r="V47" s="2">
        <f>POWER(V$4-C47,2)</f>
        <v>0.17946776859504146</v>
      </c>
      <c r="W47" s="2">
        <f>POWER(W$4-D47,2)</f>
        <v>0.1322314049586773</v>
      </c>
      <c r="X47" s="7">
        <f t="shared" si="5"/>
        <v>0.65342075088410834</v>
      </c>
      <c r="Y47" s="9">
        <f t="shared" si="6"/>
        <v>0.65342075088410834</v>
      </c>
      <c r="Z47" t="str">
        <f>IF(Y47=N47,"C1",IF(Y47=S47,"C2",IF(Y47=X47,"C3")))</f>
        <v>C3</v>
      </c>
      <c r="AP47" s="10">
        <v>6.4</v>
      </c>
      <c r="AQ47" s="10">
        <v>2.8</v>
      </c>
      <c r="AR47" s="10">
        <v>5.6</v>
      </c>
      <c r="AS47" s="10">
        <v>2.2000000000000002</v>
      </c>
      <c r="AT47" s="11" t="s">
        <v>7</v>
      </c>
      <c r="AU47" s="10" t="s">
        <v>18</v>
      </c>
    </row>
    <row r="48" spans="1:47" x14ac:dyDescent="0.2">
      <c r="A48">
        <v>5.5</v>
      </c>
      <c r="B48">
        <v>2.2999999999999998</v>
      </c>
      <c r="C48">
        <v>4</v>
      </c>
      <c r="D48">
        <v>1.3</v>
      </c>
      <c r="E48" s="3" t="s">
        <v>6</v>
      </c>
      <c r="J48" s="2">
        <f>POWER(J$4-A48,2)</f>
        <v>0.26522499999999877</v>
      </c>
      <c r="K48" s="2">
        <f>POWER(K$4-B48,2)</f>
        <v>1.2376562500000006</v>
      </c>
      <c r="L48" s="2">
        <f>POWER(L$4-C48,2)</f>
        <v>6.5025000000000013</v>
      </c>
      <c r="M48" s="2">
        <f>POWER(M$4-D48,2)</f>
        <v>1.1025000000000005</v>
      </c>
      <c r="N48" s="7">
        <f t="shared" si="3"/>
        <v>3.0179266475512625</v>
      </c>
      <c r="O48" s="2">
        <f>POWER(O$4-A48,2)</f>
        <v>9.2159999999998458E-3</v>
      </c>
      <c r="P48" s="2">
        <f>POWER(P$4-B48,2)</f>
        <v>0.1267359999999999</v>
      </c>
      <c r="Q48" s="2">
        <f>POWER(Q$4-C48,2)</f>
        <v>2.5600000000000048E-4</v>
      </c>
      <c r="R48" s="2">
        <f>POWER(R$4-D48,2)</f>
        <v>3.6000000000000064E-3</v>
      </c>
      <c r="S48" s="7">
        <f t="shared" si="4"/>
        <v>0.37390907985765703</v>
      </c>
      <c r="T48" s="2">
        <f>POWER(T$4-A48,2)</f>
        <v>1.1861190082644566</v>
      </c>
      <c r="U48" s="2">
        <f>POWER(U$4-B48,2)</f>
        <v>0.44041322314049758</v>
      </c>
      <c r="V48" s="2">
        <f>POWER(V$4-C48,2)</f>
        <v>1.7520132231404972</v>
      </c>
      <c r="W48" s="2">
        <f>POWER(W$4-D48,2)</f>
        <v>0.31768595041322245</v>
      </c>
      <c r="X48" s="7">
        <f t="shared" si="5"/>
        <v>1.9225585569648258</v>
      </c>
      <c r="Y48" s="9">
        <f t="shared" si="6"/>
        <v>0.37390907985765703</v>
      </c>
      <c r="Z48" t="str">
        <f>IF(Y48=N48,"C1",IF(Y48=S48,"C2",IF(Y48=X48,"C3")))</f>
        <v>C2</v>
      </c>
      <c r="AP48" s="10">
        <v>6.3</v>
      </c>
      <c r="AQ48" s="10">
        <v>2.8</v>
      </c>
      <c r="AR48" s="10">
        <v>5.0999999999999996</v>
      </c>
      <c r="AS48" s="10">
        <v>1.5</v>
      </c>
      <c r="AT48" s="11" t="s">
        <v>7</v>
      </c>
      <c r="AU48" s="10" t="s">
        <v>18</v>
      </c>
    </row>
    <row r="49" spans="1:47" x14ac:dyDescent="0.2">
      <c r="A49">
        <v>6.5</v>
      </c>
      <c r="B49">
        <v>2.8</v>
      </c>
      <c r="C49">
        <v>4.5999999999999996</v>
      </c>
      <c r="D49">
        <v>1.5</v>
      </c>
      <c r="E49" s="3" t="s">
        <v>6</v>
      </c>
      <c r="J49" s="2">
        <f>POWER(J$4-A49,2)</f>
        <v>2.2952249999999963</v>
      </c>
      <c r="K49" s="2">
        <f>POWER(K$4-B49,2)</f>
        <v>0.3751562500000003</v>
      </c>
      <c r="L49" s="2">
        <f>POWER(L$4-C49,2)</f>
        <v>9.9224999999999994</v>
      </c>
      <c r="M49" s="2">
        <f>POWER(M$4-D49,2)</f>
        <v>1.5625000000000007</v>
      </c>
      <c r="N49" s="7">
        <f t="shared" si="3"/>
        <v>3.7623637849096938</v>
      </c>
      <c r="O49" s="2">
        <f>POWER(O$4-A49,2)</f>
        <v>0.8172160000000015</v>
      </c>
      <c r="P49" s="2">
        <f>POWER(P$4-B49,2)</f>
        <v>2.0736000000000036E-2</v>
      </c>
      <c r="Q49" s="2">
        <f>POWER(Q$4-C49,2)</f>
        <v>0.34105599999999958</v>
      </c>
      <c r="R49" s="2">
        <f>POWER(R$4-D49,2)</f>
        <v>6.7600000000000007E-2</v>
      </c>
      <c r="S49" s="7">
        <f t="shared" si="4"/>
        <v>1.1165160097374338</v>
      </c>
      <c r="T49" s="2">
        <f>POWER(T$4-A49,2)</f>
        <v>7.9371900826441175E-3</v>
      </c>
      <c r="U49" s="2">
        <f>POWER(U$4-B49,2)</f>
        <v>2.6776859504132649E-2</v>
      </c>
      <c r="V49" s="2">
        <f>POWER(V$4-C49,2)</f>
        <v>0.5236495867768608</v>
      </c>
      <c r="W49" s="2">
        <f>POWER(W$4-D49,2)</f>
        <v>0.1322314049586773</v>
      </c>
      <c r="X49" s="7">
        <f t="shared" si="5"/>
        <v>0.83102048189097888</v>
      </c>
      <c r="Y49" s="9">
        <f t="shared" si="6"/>
        <v>0.83102048189097888</v>
      </c>
      <c r="Z49" t="str">
        <f>IF(Y49=N49,"C1",IF(Y49=S49,"C2",IF(Y49=X49,"C3")))</f>
        <v>C3</v>
      </c>
      <c r="AP49" s="10">
        <v>6.7</v>
      </c>
      <c r="AQ49" s="10">
        <v>3.3</v>
      </c>
      <c r="AR49" s="10">
        <v>5.7</v>
      </c>
      <c r="AS49" s="10">
        <v>2.5</v>
      </c>
      <c r="AT49" s="11" t="s">
        <v>7</v>
      </c>
      <c r="AU49" s="10" t="s">
        <v>18</v>
      </c>
    </row>
    <row r="50" spans="1:47" x14ac:dyDescent="0.2">
      <c r="A50">
        <v>5.7</v>
      </c>
      <c r="B50">
        <v>2.8</v>
      </c>
      <c r="C50">
        <v>4.5</v>
      </c>
      <c r="D50">
        <v>1.3</v>
      </c>
      <c r="E50" s="3" t="s">
        <v>6</v>
      </c>
      <c r="J50" s="2">
        <f>POWER(J$4-A50,2)</f>
        <v>0.51122499999999849</v>
      </c>
      <c r="K50" s="2">
        <f>POWER(K$4-B50,2)</f>
        <v>0.3751562500000003</v>
      </c>
      <c r="L50" s="2">
        <f>POWER(L$4-C50,2)</f>
        <v>9.302500000000002</v>
      </c>
      <c r="M50" s="2">
        <f>POWER(M$4-D50,2)</f>
        <v>1.1025000000000005</v>
      </c>
      <c r="N50" s="7">
        <f t="shared" si="3"/>
        <v>3.3602650565096801</v>
      </c>
      <c r="O50" s="2">
        <f>POWER(O$4-A50,2)</f>
        <v>1.0816000000000204E-2</v>
      </c>
      <c r="P50" s="2">
        <f>POWER(P$4-B50,2)</f>
        <v>2.0736000000000036E-2</v>
      </c>
      <c r="Q50" s="2">
        <f>POWER(Q$4-C50,2)</f>
        <v>0.23425599999999999</v>
      </c>
      <c r="R50" s="2">
        <f>POWER(R$4-D50,2)</f>
        <v>3.6000000000000064E-3</v>
      </c>
      <c r="S50" s="7">
        <f t="shared" si="4"/>
        <v>0.51904527740843587</v>
      </c>
      <c r="T50" s="2">
        <f>POWER(T$4-A50,2)</f>
        <v>0.79048264462809381</v>
      </c>
      <c r="U50" s="2">
        <f>POWER(U$4-B50,2)</f>
        <v>2.6776859504132649E-2</v>
      </c>
      <c r="V50" s="2">
        <f>POWER(V$4-C50,2)</f>
        <v>0.67837685950413307</v>
      </c>
      <c r="W50" s="2">
        <f>POWER(W$4-D50,2)</f>
        <v>0.31768595041322245</v>
      </c>
      <c r="X50" s="7">
        <f t="shared" si="5"/>
        <v>1.3465965669232867</v>
      </c>
      <c r="Y50" s="9">
        <f t="shared" si="6"/>
        <v>0.51904527740843587</v>
      </c>
      <c r="Z50" t="str">
        <f>IF(Y50=N50,"C1",IF(Y50=S50,"C2",IF(Y50=X50,"C3")))</f>
        <v>C2</v>
      </c>
      <c r="AP50" s="10">
        <v>6.7</v>
      </c>
      <c r="AQ50" s="10">
        <v>3</v>
      </c>
      <c r="AR50" s="10">
        <v>5.2</v>
      </c>
      <c r="AS50" s="10">
        <v>2.2999999999999998</v>
      </c>
      <c r="AT50" s="11" t="s">
        <v>7</v>
      </c>
      <c r="AU50" s="10" t="s">
        <v>18</v>
      </c>
    </row>
    <row r="51" spans="1:47" x14ac:dyDescent="0.2">
      <c r="A51">
        <v>6.3</v>
      </c>
      <c r="B51">
        <v>3.3</v>
      </c>
      <c r="C51">
        <v>4.7</v>
      </c>
      <c r="D51">
        <v>1.6</v>
      </c>
      <c r="E51" s="3" t="s">
        <v>6</v>
      </c>
      <c r="J51" s="2">
        <f>POWER(J$4-A51,2)</f>
        <v>1.7292249999999965</v>
      </c>
      <c r="K51" s="2">
        <f>POWER(K$4-B51,2)</f>
        <v>1.265625000000006E-2</v>
      </c>
      <c r="L51" s="2">
        <f>POWER(L$4-C51,2)</f>
        <v>10.562500000000004</v>
      </c>
      <c r="M51" s="2">
        <f>POWER(M$4-D51,2)</f>
        <v>1.8225000000000009</v>
      </c>
      <c r="N51" s="7">
        <f t="shared" si="3"/>
        <v>3.7585743640375138</v>
      </c>
      <c r="O51" s="2">
        <f>POWER(O$4-A51,2)</f>
        <v>0.49561600000000089</v>
      </c>
      <c r="P51" s="2">
        <f>POWER(P$4-B51,2)</f>
        <v>0.41473600000000016</v>
      </c>
      <c r="Q51" s="2">
        <f>POWER(Q$4-C51,2)</f>
        <v>0.46785600000000022</v>
      </c>
      <c r="R51" s="2">
        <f>POWER(R$4-D51,2)</f>
        <v>0.12960000000000008</v>
      </c>
      <c r="S51" s="7">
        <f t="shared" si="4"/>
        <v>1.22792833667116</v>
      </c>
      <c r="T51" s="2">
        <f>POWER(T$4-A51,2)</f>
        <v>8.357355371900671E-2</v>
      </c>
      <c r="U51" s="2">
        <f>POWER(U$4-B51,2)</f>
        <v>0.11314049586776774</v>
      </c>
      <c r="V51" s="2">
        <f>POWER(V$4-C51,2)</f>
        <v>0.38892231404958721</v>
      </c>
      <c r="W51" s="2">
        <f>POWER(W$4-D51,2)</f>
        <v>6.9504132231404628E-2</v>
      </c>
      <c r="X51" s="7">
        <f t="shared" si="5"/>
        <v>0.80940749679488788</v>
      </c>
      <c r="Y51" s="9">
        <f t="shared" si="6"/>
        <v>0.80940749679488788</v>
      </c>
      <c r="Z51" t="str">
        <f>IF(Y51=N51,"C1",IF(Y51=S51,"C2",IF(Y51=X51,"C3")))</f>
        <v>C3</v>
      </c>
      <c r="AP51" s="10">
        <v>6.3</v>
      </c>
      <c r="AQ51" s="10">
        <v>2.5</v>
      </c>
      <c r="AR51" s="10">
        <v>5</v>
      </c>
      <c r="AS51" s="10">
        <v>1.9</v>
      </c>
      <c r="AT51" s="11" t="s">
        <v>7</v>
      </c>
      <c r="AU51" s="10" t="s">
        <v>18</v>
      </c>
    </row>
    <row r="52" spans="1:47" x14ac:dyDescent="0.2">
      <c r="A52">
        <v>4.9000000000000004</v>
      </c>
      <c r="B52">
        <v>2.4</v>
      </c>
      <c r="C52">
        <v>3.3</v>
      </c>
      <c r="D52">
        <v>1</v>
      </c>
      <c r="E52" s="3" t="s">
        <v>6</v>
      </c>
      <c r="J52" s="2">
        <f>POWER(J$4-A52,2)</f>
        <v>7.2250000000001454E-3</v>
      </c>
      <c r="K52" s="2">
        <f>POWER(K$4-B52,2)</f>
        <v>1.0251562500000004</v>
      </c>
      <c r="L52" s="2">
        <f>POWER(L$4-C52,2)</f>
        <v>3.4225000000000003</v>
      </c>
      <c r="M52" s="2">
        <f>POWER(M$4-D52,2)</f>
        <v>0.56250000000000033</v>
      </c>
      <c r="N52" s="7">
        <f t="shared" si="3"/>
        <v>2.2399511713428044</v>
      </c>
      <c r="O52" s="2">
        <f>POWER(O$4-A52,2)</f>
        <v>0.4844159999999984</v>
      </c>
      <c r="P52" s="2">
        <f>POWER(P$4-B52,2)</f>
        <v>6.5535999999999886E-2</v>
      </c>
      <c r="Q52" s="2">
        <f>POWER(Q$4-C52,2)</f>
        <v>0.51265600000000022</v>
      </c>
      <c r="R52" s="2">
        <f>POWER(R$4-D52,2)</f>
        <v>5.7599999999999998E-2</v>
      </c>
      <c r="S52" s="7">
        <f t="shared" si="4"/>
        <v>1.0583987906266705</v>
      </c>
      <c r="T52" s="2">
        <f>POWER(T$4-A52,2)</f>
        <v>2.8530280991735428</v>
      </c>
      <c r="U52" s="2">
        <f>POWER(U$4-B52,2)</f>
        <v>0.3176859504132245</v>
      </c>
      <c r="V52" s="2">
        <f>POWER(V$4-C52,2)</f>
        <v>4.0951041322314081</v>
      </c>
      <c r="W52" s="2">
        <f>POWER(W$4-D52,2)</f>
        <v>0.74586776859504034</v>
      </c>
      <c r="X52" s="7">
        <f t="shared" si="5"/>
        <v>2.830492174589645</v>
      </c>
      <c r="Y52" s="9">
        <f t="shared" si="6"/>
        <v>1.0583987906266705</v>
      </c>
      <c r="Z52" t="str">
        <f>IF(Y52=N52,"C1",IF(Y52=S52,"C2",IF(Y52=X52,"C3")))</f>
        <v>C2</v>
      </c>
      <c r="AP52" s="10">
        <v>6.5</v>
      </c>
      <c r="AQ52" s="10">
        <v>3</v>
      </c>
      <c r="AR52" s="10">
        <v>5.2</v>
      </c>
      <c r="AS52" s="10">
        <v>2</v>
      </c>
      <c r="AT52" s="11" t="s">
        <v>7</v>
      </c>
      <c r="AU52" s="10" t="s">
        <v>18</v>
      </c>
    </row>
    <row r="53" spans="1:47" x14ac:dyDescent="0.2">
      <c r="A53">
        <v>6.6</v>
      </c>
      <c r="B53">
        <v>2.9</v>
      </c>
      <c r="C53">
        <v>4.5999999999999996</v>
      </c>
      <c r="D53">
        <v>1.3</v>
      </c>
      <c r="E53" s="3" t="s">
        <v>6</v>
      </c>
      <c r="J53" s="2">
        <f>POWER(J$4-A53,2)</f>
        <v>2.6082249999999951</v>
      </c>
      <c r="K53" s="2">
        <f>POWER(K$4-B53,2)</f>
        <v>0.2626562500000002</v>
      </c>
      <c r="L53" s="2">
        <f>POWER(L$4-C53,2)</f>
        <v>9.9224999999999994</v>
      </c>
      <c r="M53" s="2">
        <f>POWER(M$4-D53,2)</f>
        <v>1.1025000000000005</v>
      </c>
      <c r="N53" s="7">
        <f t="shared" si="3"/>
        <v>3.7277179681408295</v>
      </c>
      <c r="O53" s="2">
        <f>POWER(O$4-A53,2)</f>
        <v>1.0080160000000009</v>
      </c>
      <c r="P53" s="2">
        <f>POWER(P$4-B53,2)</f>
        <v>5.9536000000000103E-2</v>
      </c>
      <c r="Q53" s="2">
        <f>POWER(Q$4-C53,2)</f>
        <v>0.34105599999999958</v>
      </c>
      <c r="R53" s="2">
        <f>POWER(R$4-D53,2)</f>
        <v>3.6000000000000064E-3</v>
      </c>
      <c r="S53" s="7">
        <f t="shared" si="4"/>
        <v>1.1883635807277169</v>
      </c>
      <c r="T53" s="2">
        <f>POWER(T$4-A53,2)</f>
        <v>1.1900826446286474E-4</v>
      </c>
      <c r="U53" s="2">
        <f>POWER(U$4-B53,2)</f>
        <v>4.0495867768596556E-3</v>
      </c>
      <c r="V53" s="2">
        <f>POWER(V$4-C53,2)</f>
        <v>0.5236495867768608</v>
      </c>
      <c r="W53" s="2">
        <f>POWER(W$4-D53,2)</f>
        <v>0.31768595041322245</v>
      </c>
      <c r="X53" s="7">
        <f t="shared" si="5"/>
        <v>0.91951298643978152</v>
      </c>
      <c r="Y53" s="9">
        <f t="shared" si="6"/>
        <v>0.91951298643978152</v>
      </c>
      <c r="Z53" t="str">
        <f>IF(Y53=N53,"C1",IF(Y53=S53,"C2",IF(Y53=X53,"C3")))</f>
        <v>C3</v>
      </c>
      <c r="AP53" s="10">
        <v>6.2</v>
      </c>
      <c r="AQ53" s="10">
        <v>3.4</v>
      </c>
      <c r="AR53" s="10">
        <v>5.4</v>
      </c>
      <c r="AS53" s="10">
        <v>2.2999999999999998</v>
      </c>
      <c r="AT53" s="11" t="s">
        <v>7</v>
      </c>
      <c r="AU53" s="10" t="s">
        <v>18</v>
      </c>
    </row>
    <row r="54" spans="1:47" x14ac:dyDescent="0.2">
      <c r="A54">
        <v>4.9000000000000004</v>
      </c>
      <c r="B54">
        <v>2.5</v>
      </c>
      <c r="C54">
        <v>4.5</v>
      </c>
      <c r="D54">
        <v>1.7</v>
      </c>
      <c r="E54" s="3" t="s">
        <v>7</v>
      </c>
      <c r="J54" s="2">
        <f>POWER(J$4-A54,2)</f>
        <v>7.2250000000001454E-3</v>
      </c>
      <c r="K54" s="2">
        <f>POWER(K$4-B54,2)</f>
        <v>0.83265625000000021</v>
      </c>
      <c r="L54" s="2">
        <f>POWER(L$4-C54,2)</f>
        <v>9.302500000000002</v>
      </c>
      <c r="M54" s="2">
        <f>POWER(M$4-D54,2)</f>
        <v>2.1025000000000005</v>
      </c>
      <c r="N54" s="7">
        <f t="shared" si="3"/>
        <v>3.4992686735945275</v>
      </c>
      <c r="O54" s="2">
        <f>POWER(O$4-A54,2)</f>
        <v>0.4844159999999984</v>
      </c>
      <c r="P54" s="2">
        <f>POWER(P$4-B54,2)</f>
        <v>2.4335999999999906E-2</v>
      </c>
      <c r="Q54" s="2">
        <f>POWER(Q$4-C54,2)</f>
        <v>0.23425599999999999</v>
      </c>
      <c r="R54" s="2">
        <f>POWER(R$4-D54,2)</f>
        <v>0.21159999999999995</v>
      </c>
      <c r="S54" s="7">
        <f t="shared" si="4"/>
        <v>0.97704042905091615</v>
      </c>
      <c r="T54" s="2">
        <f>POWER(T$4-A54,2)</f>
        <v>2.8530280991735428</v>
      </c>
      <c r="U54" s="2">
        <f>POWER(U$4-B54,2)</f>
        <v>0.21495867768595142</v>
      </c>
      <c r="V54" s="2">
        <f>POWER(V$4-C54,2)</f>
        <v>0.67837685950413307</v>
      </c>
      <c r="W54" s="2">
        <f>POWER(W$4-D54,2)</f>
        <v>2.6776859504132066E-2</v>
      </c>
      <c r="X54" s="7">
        <f t="shared" si="5"/>
        <v>1.9424573343751361</v>
      </c>
      <c r="Y54" s="9">
        <f t="shared" si="6"/>
        <v>0.97704042905091615</v>
      </c>
      <c r="Z54" t="str">
        <f>IF(Y54=N54,"C1",IF(Y54=S54,"C2",IF(Y54=X54,"C3")))</f>
        <v>C2</v>
      </c>
      <c r="AP54" s="10">
        <v>5.9</v>
      </c>
      <c r="AQ54" s="10">
        <v>3</v>
      </c>
      <c r="AR54" s="10">
        <v>5.0999999999999996</v>
      </c>
      <c r="AS54" s="10">
        <v>1.8</v>
      </c>
      <c r="AT54" s="11" t="s">
        <v>7</v>
      </c>
      <c r="AU54" s="10" t="s">
        <v>18</v>
      </c>
    </row>
    <row r="55" spans="1:47" x14ac:dyDescent="0.2">
      <c r="A55">
        <v>7.3</v>
      </c>
      <c r="B55">
        <v>2.9</v>
      </c>
      <c r="C55">
        <v>6.3</v>
      </c>
      <c r="D55">
        <v>1.8</v>
      </c>
      <c r="E55" s="3" t="s">
        <v>7</v>
      </c>
      <c r="J55" s="2">
        <f>POWER(J$4-A55,2)</f>
        <v>5.3592249999999932</v>
      </c>
      <c r="K55" s="2">
        <f>POWER(K$4-B55,2)</f>
        <v>0.2626562500000002</v>
      </c>
      <c r="L55" s="2">
        <f>POWER(L$4-C55,2)</f>
        <v>23.522499999999997</v>
      </c>
      <c r="M55" s="2">
        <f>POWER(M$4-D55,2)</f>
        <v>2.4025000000000007</v>
      </c>
      <c r="N55" s="7">
        <f t="shared" si="3"/>
        <v>5.6166610410456492</v>
      </c>
      <c r="O55" s="2">
        <f>POWER(O$4-A55,2)</f>
        <v>2.9036160000000022</v>
      </c>
      <c r="P55" s="2">
        <f>POWER(P$4-B55,2)</f>
        <v>5.9536000000000103E-2</v>
      </c>
      <c r="Q55" s="2">
        <f>POWER(Q$4-C55,2)</f>
        <v>5.2166559999999995</v>
      </c>
      <c r="R55" s="2">
        <f>POWER(R$4-D55,2)</f>
        <v>0.31360000000000005</v>
      </c>
      <c r="S55" s="7">
        <f t="shared" si="4"/>
        <v>2.9143452094767359</v>
      </c>
      <c r="T55" s="2">
        <f>POWER(T$4-A55,2)</f>
        <v>0.50539173553719385</v>
      </c>
      <c r="U55" s="2">
        <f>POWER(U$4-B55,2)</f>
        <v>4.0495867768596556E-3</v>
      </c>
      <c r="V55" s="2">
        <f>POWER(V$4-C55,2)</f>
        <v>0.95328595041322173</v>
      </c>
      <c r="W55" s="2">
        <f>POWER(W$4-D55,2)</f>
        <v>4.0495867768594292E-3</v>
      </c>
      <c r="X55" s="7">
        <f t="shared" si="5"/>
        <v>1.2111056351549747</v>
      </c>
      <c r="Y55" s="9">
        <f t="shared" si="6"/>
        <v>1.2111056351549747</v>
      </c>
      <c r="Z55" t="str">
        <f>IF(Y55=N55,"C1",IF(Y55=S55,"C2",IF(Y55=X55,"C3")))</f>
        <v>C3</v>
      </c>
      <c r="AP55" s="10"/>
      <c r="AQ55" s="10"/>
      <c r="AR55" s="10"/>
      <c r="AS55" s="10"/>
      <c r="AT55" s="11"/>
      <c r="AU55" s="10"/>
    </row>
    <row r="56" spans="1:47" x14ac:dyDescent="0.2">
      <c r="A56">
        <v>6.7</v>
      </c>
      <c r="B56">
        <v>2.5</v>
      </c>
      <c r="C56">
        <v>5.8</v>
      </c>
      <c r="D56">
        <v>1.8</v>
      </c>
      <c r="E56" s="3" t="s">
        <v>7</v>
      </c>
      <c r="J56" s="2">
        <f>POWER(J$4-A56,2)</f>
        <v>2.9412249999999966</v>
      </c>
      <c r="K56" s="2">
        <f>POWER(K$4-B56,2)</f>
        <v>0.83265625000000021</v>
      </c>
      <c r="L56" s="2">
        <f>POWER(L$4-C56,2)</f>
        <v>18.922499999999996</v>
      </c>
      <c r="M56" s="2">
        <f>POWER(M$4-D56,2)</f>
        <v>2.4025000000000007</v>
      </c>
      <c r="N56" s="7">
        <f t="shared" si="3"/>
        <v>5.0098783667869613</v>
      </c>
      <c r="O56" s="2">
        <f>POWER(O$4-A56,2)</f>
        <v>1.2188160000000021</v>
      </c>
      <c r="P56" s="2">
        <f>POWER(P$4-B56,2)</f>
        <v>2.4335999999999906E-2</v>
      </c>
      <c r="Q56" s="2">
        <f>POWER(Q$4-C56,2)</f>
        <v>3.1826559999999993</v>
      </c>
      <c r="R56" s="2">
        <f>POWER(R$4-D56,2)</f>
        <v>0.31360000000000005</v>
      </c>
      <c r="S56" s="7">
        <f t="shared" si="4"/>
        <v>2.1770181441595753</v>
      </c>
      <c r="T56" s="2">
        <f>POWER(T$4-A56,2)</f>
        <v>1.2300826446281667E-2</v>
      </c>
      <c r="U56" s="2">
        <f>POWER(U$4-B56,2)</f>
        <v>0.21495867768595142</v>
      </c>
      <c r="V56" s="2">
        <f>POWER(V$4-C56,2)</f>
        <v>0.2269223140495861</v>
      </c>
      <c r="W56" s="2">
        <f>POWER(W$4-D56,2)</f>
        <v>4.0495867768594292E-3</v>
      </c>
      <c r="X56" s="7">
        <f t="shared" si="5"/>
        <v>0.67692791710689448</v>
      </c>
      <c r="Y56" s="9">
        <f t="shared" si="6"/>
        <v>0.67692791710689448</v>
      </c>
      <c r="Z56" t="str">
        <f>IF(Y56=N56,"C1",IF(Y56=S56,"C2",IF(Y56=X56,"C3")))</f>
        <v>C3</v>
      </c>
      <c r="AP56" s="10"/>
      <c r="AQ56" s="10"/>
      <c r="AR56" s="10"/>
      <c r="AS56" s="10"/>
      <c r="AT56" s="11"/>
      <c r="AU56" s="10"/>
    </row>
    <row r="57" spans="1:47" x14ac:dyDescent="0.2">
      <c r="A57">
        <v>7.2</v>
      </c>
      <c r="B57">
        <v>3.6</v>
      </c>
      <c r="C57">
        <v>6.1</v>
      </c>
      <c r="D57">
        <v>2.5</v>
      </c>
      <c r="E57" s="3" t="s">
        <v>7</v>
      </c>
      <c r="J57" s="2">
        <f>POWER(J$4-A57,2)</f>
        <v>4.9062249999999956</v>
      </c>
      <c r="K57" s="2">
        <f>POWER(K$4-B57,2)</f>
        <v>3.515625E-2</v>
      </c>
      <c r="L57" s="2">
        <f>POWER(L$4-C57,2)</f>
        <v>21.622500000000002</v>
      </c>
      <c r="M57" s="2">
        <f>POWER(M$4-D57,2)</f>
        <v>5.0625</v>
      </c>
      <c r="N57" s="7">
        <f t="shared" si="3"/>
        <v>5.6237337463645982</v>
      </c>
      <c r="O57" s="2">
        <f>POWER(O$4-A57,2)</f>
        <v>2.5728160000000031</v>
      </c>
      <c r="P57" s="2">
        <f>POWER(P$4-B57,2)</f>
        <v>0.89113600000000071</v>
      </c>
      <c r="Q57" s="2">
        <f>POWER(Q$4-C57,2)</f>
        <v>4.343055999999998</v>
      </c>
      <c r="R57" s="2">
        <f>POWER(R$4-D57,2)</f>
        <v>1.5876000000000001</v>
      </c>
      <c r="S57" s="7">
        <f t="shared" si="4"/>
        <v>3.0650624789716772</v>
      </c>
      <c r="T57" s="2">
        <f>POWER(T$4-A57,2)</f>
        <v>0.37320991735537562</v>
      </c>
      <c r="U57" s="2">
        <f>POWER(U$4-B57,2)</f>
        <v>0.40495867768594912</v>
      </c>
      <c r="V57" s="2">
        <f>POWER(V$4-C57,2)</f>
        <v>0.60274049586776723</v>
      </c>
      <c r="W57" s="2">
        <f>POWER(W$4-D57,2)</f>
        <v>0.40495867768595112</v>
      </c>
      <c r="X57" s="7">
        <f t="shared" si="5"/>
        <v>1.3363636363636371</v>
      </c>
      <c r="Y57" s="9">
        <f t="shared" si="6"/>
        <v>1.3363636363636371</v>
      </c>
      <c r="Z57" t="str">
        <f>IF(Y57=N57,"C1",IF(Y57=S57,"C2",IF(Y57=X57,"C3")))</f>
        <v>C3</v>
      </c>
      <c r="AP57" s="10"/>
      <c r="AQ57" s="10"/>
      <c r="AR57" s="10"/>
      <c r="AS57" s="10"/>
      <c r="AT57" s="11"/>
      <c r="AU57" s="10"/>
    </row>
    <row r="58" spans="1:47" x14ac:dyDescent="0.2">
      <c r="A58">
        <v>6.5</v>
      </c>
      <c r="B58">
        <v>3.2</v>
      </c>
      <c r="C58">
        <v>5.0999999999999996</v>
      </c>
      <c r="D58">
        <v>2</v>
      </c>
      <c r="E58" s="3" t="s">
        <v>7</v>
      </c>
      <c r="J58" s="2">
        <f>POWER(J$4-A58,2)</f>
        <v>2.2952249999999963</v>
      </c>
      <c r="K58" s="2">
        <f>POWER(K$4-B58,2)</f>
        <v>4.515624999999996E-2</v>
      </c>
      <c r="L58" s="2">
        <f>POWER(L$4-C58,2)</f>
        <v>13.3225</v>
      </c>
      <c r="M58" s="2">
        <f>POWER(M$4-D58,2)</f>
        <v>3.0625000000000009</v>
      </c>
      <c r="N58" s="7">
        <f t="shared" si="3"/>
        <v>4.3272833567955775</v>
      </c>
      <c r="O58" s="2">
        <f>POWER(O$4-A58,2)</f>
        <v>0.8172160000000015</v>
      </c>
      <c r="P58" s="2">
        <f>POWER(P$4-B58,2)</f>
        <v>0.29593600000000053</v>
      </c>
      <c r="Q58" s="2">
        <f>POWER(Q$4-C58,2)</f>
        <v>1.1750559999999992</v>
      </c>
      <c r="R58" s="2">
        <f>POWER(R$4-D58,2)</f>
        <v>0.5776</v>
      </c>
      <c r="S58" s="7">
        <f t="shared" si="4"/>
        <v>1.6928697528162056</v>
      </c>
      <c r="T58" s="2">
        <f>POWER(T$4-A58,2)</f>
        <v>7.9371900826441175E-3</v>
      </c>
      <c r="U58" s="2">
        <f>POWER(U$4-B58,2)</f>
        <v>5.586776859504089E-2</v>
      </c>
      <c r="V58" s="2">
        <f>POWER(V$4-C58,2)</f>
        <v>5.0013223140496263E-2</v>
      </c>
      <c r="W58" s="2">
        <f>POWER(W$4-D58,2)</f>
        <v>1.8595041322314199E-2</v>
      </c>
      <c r="X58" s="7">
        <f t="shared" si="5"/>
        <v>0.36388627775789439</v>
      </c>
      <c r="Y58" s="9">
        <f t="shared" si="6"/>
        <v>0.36388627775789439</v>
      </c>
      <c r="Z58" t="str">
        <f>IF(Y58=N58,"C1",IF(Y58=S58,"C2",IF(Y58=X58,"C3")))</f>
        <v>C3</v>
      </c>
      <c r="AP58" s="10"/>
      <c r="AQ58" s="10"/>
      <c r="AR58" s="10"/>
      <c r="AS58" s="10"/>
      <c r="AT58" s="11"/>
      <c r="AU58" s="10"/>
    </row>
    <row r="59" spans="1:47" x14ac:dyDescent="0.2">
      <c r="A59">
        <v>6.4</v>
      </c>
      <c r="B59">
        <v>2.7</v>
      </c>
      <c r="C59">
        <v>5.3</v>
      </c>
      <c r="D59">
        <v>1.9</v>
      </c>
      <c r="E59" s="3" t="s">
        <v>7</v>
      </c>
      <c r="J59" s="2">
        <f>POWER(J$4-A59,2)</f>
        <v>2.0022249999999975</v>
      </c>
      <c r="K59" s="2">
        <f>POWER(K$4-B59,2)</f>
        <v>0.50765624999999992</v>
      </c>
      <c r="L59" s="2">
        <f>POWER(L$4-C59,2)</f>
        <v>14.822500000000002</v>
      </c>
      <c r="M59" s="2">
        <f>POWER(M$4-D59,2)</f>
        <v>2.7225000000000006</v>
      </c>
      <c r="N59" s="7">
        <f t="shared" si="3"/>
        <v>4.4782676617192054</v>
      </c>
      <c r="O59" s="2">
        <f>POWER(O$4-A59,2)</f>
        <v>0.64641600000000188</v>
      </c>
      <c r="P59" s="2">
        <f>POWER(P$4-B59,2)</f>
        <v>1.9360000000000425E-3</v>
      </c>
      <c r="Q59" s="2">
        <f>POWER(Q$4-C59,2)</f>
        <v>1.6486559999999995</v>
      </c>
      <c r="R59" s="2">
        <f>POWER(R$4-D59,2)</f>
        <v>0.43559999999999988</v>
      </c>
      <c r="S59" s="7">
        <f t="shared" si="4"/>
        <v>1.6530601924914898</v>
      </c>
      <c r="T59" s="2">
        <f>POWER(T$4-A59,2)</f>
        <v>3.5755371900825228E-2</v>
      </c>
      <c r="U59" s="2">
        <f>POWER(U$4-B59,2)</f>
        <v>6.9504132231405447E-2</v>
      </c>
      <c r="V59" s="2">
        <f>POWER(V$4-C59,2)</f>
        <v>5.5867768595044666E-4</v>
      </c>
      <c r="W59" s="2">
        <f>POWER(W$4-D59,2)</f>
        <v>1.3223140495868101E-3</v>
      </c>
      <c r="X59" s="7">
        <f t="shared" si="5"/>
        <v>0.32732322842683792</v>
      </c>
      <c r="Y59" s="9">
        <f t="shared" si="6"/>
        <v>0.32732322842683792</v>
      </c>
      <c r="Z59" t="str">
        <f>IF(Y59=N59,"C1",IF(Y59=S59,"C2",IF(Y59=X59,"C3")))</f>
        <v>C3</v>
      </c>
    </row>
    <row r="60" spans="1:47" x14ac:dyDescent="0.2">
      <c r="A60">
        <v>6.8</v>
      </c>
      <c r="B60">
        <v>3</v>
      </c>
      <c r="C60">
        <v>5.5</v>
      </c>
      <c r="D60">
        <v>2.1</v>
      </c>
      <c r="E60" s="3" t="s">
        <v>7</v>
      </c>
      <c r="J60" s="2">
        <f>POWER(J$4-A60,2)</f>
        <v>3.2942249999999951</v>
      </c>
      <c r="K60" s="2">
        <f>POWER(K$4-B60,2)</f>
        <v>0.17015625000000006</v>
      </c>
      <c r="L60" s="2">
        <f>POWER(L$4-C60,2)</f>
        <v>16.402500000000007</v>
      </c>
      <c r="M60" s="2">
        <f>POWER(M$4-D60,2)</f>
        <v>3.4225000000000012</v>
      </c>
      <c r="N60" s="7">
        <f t="shared" si="3"/>
        <v>4.8259072981150402</v>
      </c>
      <c r="O60" s="2">
        <f>POWER(O$4-A60,2)</f>
        <v>1.4496160000000016</v>
      </c>
      <c r="P60" s="2">
        <f>POWER(P$4-B60,2)</f>
        <v>0.1183360000000002</v>
      </c>
      <c r="Q60" s="2">
        <f>POWER(Q$4-C60,2)</f>
        <v>2.2022559999999998</v>
      </c>
      <c r="R60" s="2">
        <f>POWER(R$4-D60,2)</f>
        <v>0.73960000000000015</v>
      </c>
      <c r="S60" s="7">
        <f t="shared" si="4"/>
        <v>2.1236308530439092</v>
      </c>
      <c r="T60" s="2">
        <f>POWER(T$4-A60,2)</f>
        <v>4.448264462810031E-2</v>
      </c>
      <c r="U60" s="2">
        <f>POWER(U$4-B60,2)</f>
        <v>1.3223140495866969E-3</v>
      </c>
      <c r="V60" s="2">
        <f>POWER(V$4-C60,2)</f>
        <v>3.1104132231404773E-2</v>
      </c>
      <c r="W60" s="2">
        <f>POWER(W$4-D60,2)</f>
        <v>5.5867768595041625E-2</v>
      </c>
      <c r="X60" s="7">
        <f t="shared" si="5"/>
        <v>0.36438559178997926</v>
      </c>
      <c r="Y60" s="9">
        <f t="shared" si="6"/>
        <v>0.36438559178997926</v>
      </c>
      <c r="Z60" t="str">
        <f>IF(Y60=N60,"C1",IF(Y60=S60,"C2",IF(Y60=X60,"C3")))</f>
        <v>C3</v>
      </c>
    </row>
    <row r="61" spans="1:47" x14ac:dyDescent="0.2">
      <c r="A61">
        <v>5.6</v>
      </c>
      <c r="B61">
        <v>3</v>
      </c>
      <c r="C61">
        <v>4.5</v>
      </c>
      <c r="D61">
        <v>1.5</v>
      </c>
      <c r="E61" s="3" t="s">
        <v>6</v>
      </c>
      <c r="J61" s="2">
        <f>POWER(J$4-A61,2)</f>
        <v>0.37822499999999809</v>
      </c>
      <c r="K61" s="2">
        <f>POWER(K$4-B61,2)</f>
        <v>0.17015625000000006</v>
      </c>
      <c r="L61" s="2">
        <f>POWER(L$4-C61,2)</f>
        <v>9.302500000000002</v>
      </c>
      <c r="M61" s="2">
        <f>POWER(M$4-D61,2)</f>
        <v>1.5625000000000007</v>
      </c>
      <c r="N61" s="7">
        <f t="shared" si="3"/>
        <v>3.3783696141778212</v>
      </c>
      <c r="O61" s="2">
        <f>POWER(O$4-A61,2)</f>
        <v>1.6000000000003581E-5</v>
      </c>
      <c r="P61" s="2">
        <f>POWER(P$4-B61,2)</f>
        <v>0.1183360000000002</v>
      </c>
      <c r="Q61" s="2">
        <f>POWER(Q$4-C61,2)</f>
        <v>0.23425599999999999</v>
      </c>
      <c r="R61" s="2">
        <f>POWER(R$4-D61,2)</f>
        <v>6.7600000000000007E-2</v>
      </c>
      <c r="S61" s="7">
        <f t="shared" si="4"/>
        <v>0.6482345254612718</v>
      </c>
      <c r="T61" s="2">
        <f>POWER(T$4-A61,2)</f>
        <v>0.97830082644627603</v>
      </c>
      <c r="U61" s="2">
        <f>POWER(U$4-B61,2)</f>
        <v>1.3223140495866969E-3</v>
      </c>
      <c r="V61" s="2">
        <f>POWER(V$4-C61,2)</f>
        <v>0.67837685950413307</v>
      </c>
      <c r="W61" s="2">
        <f>POWER(W$4-D61,2)</f>
        <v>0.1322314049586773</v>
      </c>
      <c r="X61" s="7">
        <f t="shared" si="5"/>
        <v>1.3379952933245591</v>
      </c>
      <c r="Y61" s="9">
        <f t="shared" si="6"/>
        <v>0.6482345254612718</v>
      </c>
      <c r="Z61" t="str">
        <f>IF(Y61=N61,"C1",IF(Y61=S61,"C2",IF(Y61=X61,"C3")))</f>
        <v>C2</v>
      </c>
    </row>
    <row r="62" spans="1:47" x14ac:dyDescent="0.2">
      <c r="A62">
        <v>5.8</v>
      </c>
      <c r="B62">
        <v>2.7</v>
      </c>
      <c r="C62">
        <v>4.0999999999999996</v>
      </c>
      <c r="D62">
        <v>1</v>
      </c>
      <c r="E62" s="3" t="s">
        <v>6</v>
      </c>
      <c r="J62" s="2">
        <f>POWER(J$4-A62,2)</f>
        <v>0.66422499999999773</v>
      </c>
      <c r="K62" s="2">
        <f>POWER(K$4-B62,2)</f>
        <v>0.50765624999999992</v>
      </c>
      <c r="L62" s="2">
        <f>POWER(L$4-C62,2)</f>
        <v>7.0225</v>
      </c>
      <c r="M62" s="2">
        <f>POWER(M$4-D62,2)</f>
        <v>0.56250000000000033</v>
      </c>
      <c r="N62" s="7">
        <f t="shared" si="3"/>
        <v>2.9592028065004259</v>
      </c>
      <c r="O62" s="2">
        <f>POWER(O$4-A62,2)</f>
        <v>4.1616000000000257E-2</v>
      </c>
      <c r="P62" s="2">
        <f>POWER(P$4-B62,2)</f>
        <v>1.9360000000000425E-3</v>
      </c>
      <c r="Q62" s="2">
        <f>POWER(Q$4-C62,2)</f>
        <v>7.0559999999999382E-3</v>
      </c>
      <c r="R62" s="2">
        <f>POWER(R$4-D62,2)</f>
        <v>5.7599999999999998E-2</v>
      </c>
      <c r="S62" s="7">
        <f t="shared" si="4"/>
        <v>0.32894984420120987</v>
      </c>
      <c r="T62" s="2">
        <f>POWER(T$4-A62,2)</f>
        <v>0.62266446280991306</v>
      </c>
      <c r="U62" s="2">
        <f>POWER(U$4-B62,2)</f>
        <v>6.9504132231405447E-2</v>
      </c>
      <c r="V62" s="2">
        <f>POWER(V$4-C62,2)</f>
        <v>1.4972859504132252</v>
      </c>
      <c r="W62" s="2">
        <f>POWER(W$4-D62,2)</f>
        <v>0.74586776859504034</v>
      </c>
      <c r="X62" s="7">
        <f t="shared" si="5"/>
        <v>1.7132782360286913</v>
      </c>
      <c r="Y62" s="9">
        <f t="shared" si="6"/>
        <v>0.32894984420120987</v>
      </c>
      <c r="Z62" t="str">
        <f>IF(Y62=N62,"C1",IF(Y62=S62,"C2",IF(Y62=X62,"C3")))</f>
        <v>C2</v>
      </c>
    </row>
    <row r="63" spans="1:47" x14ac:dyDescent="0.2">
      <c r="A63">
        <v>6.2</v>
      </c>
      <c r="B63">
        <v>2.2000000000000002</v>
      </c>
      <c r="C63">
        <v>4.5</v>
      </c>
      <c r="D63">
        <v>1.5</v>
      </c>
      <c r="E63" s="3" t="s">
        <v>6</v>
      </c>
      <c r="J63" s="2">
        <f>POWER(J$4-A63,2)</f>
        <v>1.4762249999999975</v>
      </c>
      <c r="K63" s="2">
        <f>POWER(K$4-B63,2)</f>
        <v>1.4701562499999998</v>
      </c>
      <c r="L63" s="2">
        <f>POWER(L$4-C63,2)</f>
        <v>9.302500000000002</v>
      </c>
      <c r="M63" s="2">
        <f>POWER(M$4-D63,2)</f>
        <v>1.5625000000000007</v>
      </c>
      <c r="N63" s="7">
        <f t="shared" si="3"/>
        <v>3.716366673244178</v>
      </c>
      <c r="O63" s="2">
        <f>POWER(O$4-A63,2)</f>
        <v>0.36481600000000119</v>
      </c>
      <c r="P63" s="2">
        <f>POWER(P$4-B63,2)</f>
        <v>0.20793599999999957</v>
      </c>
      <c r="Q63" s="2">
        <f>POWER(Q$4-C63,2)</f>
        <v>0.23425599999999999</v>
      </c>
      <c r="R63" s="2">
        <f>POWER(R$4-D63,2)</f>
        <v>6.7600000000000007E-2</v>
      </c>
      <c r="S63" s="7">
        <f t="shared" si="4"/>
        <v>0.93520479040689308</v>
      </c>
      <c r="T63" s="2">
        <f>POWER(T$4-A63,2)</f>
        <v>0.15139173553718771</v>
      </c>
      <c r="U63" s="2">
        <f>POWER(U$4-B63,2)</f>
        <v>0.58314049586776995</v>
      </c>
      <c r="V63" s="2">
        <f>POWER(V$4-C63,2)</f>
        <v>0.67837685950413307</v>
      </c>
      <c r="W63" s="2">
        <f>POWER(W$4-D63,2)</f>
        <v>0.1322314049586773</v>
      </c>
      <c r="X63" s="7">
        <f t="shared" si="5"/>
        <v>1.2430368039071764</v>
      </c>
      <c r="Y63" s="9">
        <f t="shared" si="6"/>
        <v>0.93520479040689308</v>
      </c>
      <c r="Z63" t="str">
        <f>IF(Y63=N63,"C1",IF(Y63=S63,"C2",IF(Y63=X63,"C3")))</f>
        <v>C2</v>
      </c>
    </row>
    <row r="64" spans="1:47" x14ac:dyDescent="0.2">
      <c r="A64">
        <v>5.6</v>
      </c>
      <c r="B64">
        <v>2.5</v>
      </c>
      <c r="C64">
        <v>3.9</v>
      </c>
      <c r="D64">
        <v>1.1000000000000001</v>
      </c>
      <c r="E64" s="3" t="s">
        <v>6</v>
      </c>
      <c r="J64" s="2">
        <f>POWER(J$4-A64,2)</f>
        <v>0.37822499999999809</v>
      </c>
      <c r="K64" s="2">
        <f>POWER(K$4-B64,2)</f>
        <v>0.83265625000000021</v>
      </c>
      <c r="L64" s="2">
        <f>POWER(L$4-C64,2)</f>
        <v>6.0025000000000013</v>
      </c>
      <c r="M64" s="2">
        <f>POWER(M$4-D64,2)</f>
        <v>0.72250000000000048</v>
      </c>
      <c r="N64" s="7">
        <f t="shared" si="3"/>
        <v>2.8170696210779029</v>
      </c>
      <c r="O64" s="2">
        <f>POWER(O$4-A64,2)</f>
        <v>1.6000000000003581E-5</v>
      </c>
      <c r="P64" s="2">
        <f>POWER(P$4-B64,2)</f>
        <v>2.4335999999999906E-2</v>
      </c>
      <c r="Q64" s="2">
        <f>POWER(Q$4-C64,2)</f>
        <v>1.3456000000000023E-2</v>
      </c>
      <c r="R64" s="2">
        <f>POWER(R$4-D64,2)</f>
        <v>1.9599999999999972E-2</v>
      </c>
      <c r="S64" s="7">
        <f t="shared" si="4"/>
        <v>0.23959966610995079</v>
      </c>
      <c r="T64" s="2">
        <f>POWER(T$4-A64,2)</f>
        <v>0.97830082644627603</v>
      </c>
      <c r="U64" s="2">
        <f>POWER(U$4-B64,2)</f>
        <v>0.21495867768595142</v>
      </c>
      <c r="V64" s="2">
        <f>POWER(V$4-C64,2)</f>
        <v>2.0267404958677702</v>
      </c>
      <c r="W64" s="2">
        <f>POWER(W$4-D64,2)</f>
        <v>0.58314049586776762</v>
      </c>
      <c r="X64" s="7">
        <f t="shared" si="5"/>
        <v>1.9501642227945228</v>
      </c>
      <c r="Y64" s="9">
        <f t="shared" si="6"/>
        <v>0.23959966610995079</v>
      </c>
      <c r="Z64" t="str">
        <f>IF(Y64=N64,"C1",IF(Y64=S64,"C2",IF(Y64=X64,"C3")))</f>
        <v>C2</v>
      </c>
    </row>
    <row r="65" spans="1:26" x14ac:dyDescent="0.2">
      <c r="A65">
        <v>5.9</v>
      </c>
      <c r="B65">
        <v>3.2</v>
      </c>
      <c r="C65">
        <v>4.8</v>
      </c>
      <c r="D65">
        <v>1.8</v>
      </c>
      <c r="E65" s="3" t="s">
        <v>6</v>
      </c>
      <c r="J65" s="2">
        <f>POWER(J$4-A65,2)</f>
        <v>0.83722499999999844</v>
      </c>
      <c r="K65" s="2">
        <f>POWER(K$4-B65,2)</f>
        <v>4.515624999999996E-2</v>
      </c>
      <c r="L65" s="2">
        <f>POWER(L$4-C65,2)</f>
        <v>11.2225</v>
      </c>
      <c r="M65" s="2">
        <f>POWER(M$4-D65,2)</f>
        <v>2.4025000000000007</v>
      </c>
      <c r="N65" s="7">
        <f t="shared" si="3"/>
        <v>3.8088556352269376</v>
      </c>
      <c r="O65" s="2">
        <f>POWER(O$4-A65,2)</f>
        <v>9.2416000000000706E-2</v>
      </c>
      <c r="P65" s="2">
        <f>POWER(P$4-B65,2)</f>
        <v>0.29593600000000053</v>
      </c>
      <c r="Q65" s="2">
        <f>POWER(Q$4-C65,2)</f>
        <v>0.61465599999999965</v>
      </c>
      <c r="R65" s="2">
        <f>POWER(R$4-D65,2)</f>
        <v>0.31360000000000005</v>
      </c>
      <c r="S65" s="7">
        <f t="shared" si="4"/>
        <v>1.1474354012318082</v>
      </c>
      <c r="T65" s="2">
        <f>POWER(T$4-A65,2)</f>
        <v>0.4748462809917311</v>
      </c>
      <c r="U65" s="2">
        <f>POWER(U$4-B65,2)</f>
        <v>5.586776859504089E-2</v>
      </c>
      <c r="V65" s="2">
        <f>POWER(V$4-C65,2)</f>
        <v>0.27419504132231481</v>
      </c>
      <c r="W65" s="2">
        <f>POWER(W$4-D65,2)</f>
        <v>4.0495867768594292E-3</v>
      </c>
      <c r="X65" s="7">
        <f t="shared" si="5"/>
        <v>0.89942130155225153</v>
      </c>
      <c r="Y65" s="9">
        <f t="shared" si="6"/>
        <v>0.89942130155225153</v>
      </c>
      <c r="Z65" t="str">
        <f>IF(Y65=N65,"C1",IF(Y65=S65,"C2",IF(Y65=X65,"C3")))</f>
        <v>C3</v>
      </c>
    </row>
    <row r="66" spans="1:26" x14ac:dyDescent="0.2">
      <c r="A66">
        <v>6.1</v>
      </c>
      <c r="B66">
        <v>2.8</v>
      </c>
      <c r="C66">
        <v>4</v>
      </c>
      <c r="D66">
        <v>1.3</v>
      </c>
      <c r="E66" s="3" t="s">
        <v>6</v>
      </c>
      <c r="J66" s="2">
        <f>POWER(J$4-A66,2)</f>
        <v>1.2432249999999965</v>
      </c>
      <c r="K66" s="2">
        <f>POWER(K$4-B66,2)</f>
        <v>0.3751562500000003</v>
      </c>
      <c r="L66" s="2">
        <f>POWER(L$4-C66,2)</f>
        <v>6.5025000000000013</v>
      </c>
      <c r="M66" s="2">
        <f>POWER(M$4-D66,2)</f>
        <v>1.1025000000000005</v>
      </c>
      <c r="N66" s="7">
        <f t="shared" si="3"/>
        <v>3.037002016792218</v>
      </c>
      <c r="O66" s="2">
        <f>POWER(O$4-A66,2)</f>
        <v>0.25401600000000046</v>
      </c>
      <c r="P66" s="2">
        <f>POWER(P$4-B66,2)</f>
        <v>2.0736000000000036E-2</v>
      </c>
      <c r="Q66" s="2">
        <f>POWER(Q$4-C66,2)</f>
        <v>2.5600000000000048E-4</v>
      </c>
      <c r="R66" s="2">
        <f>POWER(R$4-D66,2)</f>
        <v>3.6000000000000064E-3</v>
      </c>
      <c r="S66" s="7">
        <f t="shared" si="4"/>
        <v>0.52783330702031339</v>
      </c>
      <c r="T66" s="2">
        <f>POWER(T$4-A66,2)</f>
        <v>0.23920991735536945</v>
      </c>
      <c r="U66" s="2">
        <f>POWER(U$4-B66,2)</f>
        <v>2.6776859504132649E-2</v>
      </c>
      <c r="V66" s="2">
        <f>POWER(V$4-C66,2)</f>
        <v>1.7520132231404972</v>
      </c>
      <c r="W66" s="2">
        <f>POWER(W$4-D66,2)</f>
        <v>0.31768595041322245</v>
      </c>
      <c r="X66" s="7">
        <f t="shared" si="5"/>
        <v>1.5282951123435622</v>
      </c>
      <c r="Y66" s="9">
        <f t="shared" si="6"/>
        <v>0.52783330702031339</v>
      </c>
      <c r="Z66" t="str">
        <f>IF(Y66=N66,"C1",IF(Y66=S66,"C2",IF(Y66=X66,"C3")))</f>
        <v>C2</v>
      </c>
    </row>
    <row r="67" spans="1:26" x14ac:dyDescent="0.2">
      <c r="A67">
        <v>6.3</v>
      </c>
      <c r="B67">
        <v>2.5</v>
      </c>
      <c r="C67">
        <v>4.9000000000000004</v>
      </c>
      <c r="D67">
        <v>1.5</v>
      </c>
      <c r="E67" s="3" t="s">
        <v>6</v>
      </c>
      <c r="J67" s="2">
        <f>POWER(J$4-A67,2)</f>
        <v>1.7292249999999965</v>
      </c>
      <c r="K67" s="2">
        <f>POWER(K$4-B67,2)</f>
        <v>0.83265625000000021</v>
      </c>
      <c r="L67" s="2">
        <f>POWER(L$4-C67,2)</f>
        <v>11.902500000000003</v>
      </c>
      <c r="M67" s="2">
        <f>POWER(M$4-D67,2)</f>
        <v>1.5625000000000007</v>
      </c>
      <c r="N67" s="7">
        <f t="shared" si="3"/>
        <v>4.0033587461030775</v>
      </c>
      <c r="O67" s="2">
        <f>POWER(O$4-A67,2)</f>
        <v>0.49561600000000089</v>
      </c>
      <c r="P67" s="2">
        <f>POWER(P$4-B67,2)</f>
        <v>2.4335999999999906E-2</v>
      </c>
      <c r="Q67" s="2">
        <f>POWER(Q$4-C67,2)</f>
        <v>0.78145600000000059</v>
      </c>
      <c r="R67" s="2">
        <f>POWER(R$4-D67,2)</f>
        <v>6.7600000000000007E-2</v>
      </c>
      <c r="S67" s="7">
        <f t="shared" si="4"/>
        <v>1.1700461529358581</v>
      </c>
      <c r="T67" s="2">
        <f>POWER(T$4-A67,2)</f>
        <v>8.357355371900671E-2</v>
      </c>
      <c r="U67" s="2">
        <f>POWER(U$4-B67,2)</f>
        <v>0.21495867768595142</v>
      </c>
      <c r="V67" s="2">
        <f>POWER(V$4-C67,2)</f>
        <v>0.17946776859504146</v>
      </c>
      <c r="W67" s="2">
        <f>POWER(W$4-D67,2)</f>
        <v>0.1322314049586773</v>
      </c>
      <c r="X67" s="7">
        <f t="shared" si="5"/>
        <v>0.78117309538838875</v>
      </c>
      <c r="Y67" s="9">
        <f t="shared" si="6"/>
        <v>0.78117309538838875</v>
      </c>
      <c r="Z67" t="str">
        <f>IF(Y67=N67,"C1",IF(Y67=S67,"C2",IF(Y67=X67,"C3")))</f>
        <v>C3</v>
      </c>
    </row>
    <row r="68" spans="1:26" x14ac:dyDescent="0.2">
      <c r="A68">
        <v>6.1</v>
      </c>
      <c r="B68">
        <v>2.8</v>
      </c>
      <c r="C68">
        <v>4.7</v>
      </c>
      <c r="D68">
        <v>1.2</v>
      </c>
      <c r="E68" s="3" t="s">
        <v>6</v>
      </c>
      <c r="J68" s="2">
        <f>POWER(J$4-A68,2)</f>
        <v>1.2432249999999965</v>
      </c>
      <c r="K68" s="2">
        <f>POWER(K$4-B68,2)</f>
        <v>0.3751562500000003</v>
      </c>
      <c r="L68" s="2">
        <f>POWER(L$4-C68,2)</f>
        <v>10.562500000000004</v>
      </c>
      <c r="M68" s="2">
        <f>POWER(M$4-D68,2)</f>
        <v>0.9025000000000003</v>
      </c>
      <c r="N68" s="7">
        <f t="shared" si="3"/>
        <v>3.6170956926794182</v>
      </c>
      <c r="O68" s="2">
        <f>POWER(O$4-A68,2)</f>
        <v>0.25401600000000046</v>
      </c>
      <c r="P68" s="2">
        <f>POWER(P$4-B68,2)</f>
        <v>2.0736000000000036E-2</v>
      </c>
      <c r="Q68" s="2">
        <f>POWER(Q$4-C68,2)</f>
        <v>0.46785600000000022</v>
      </c>
      <c r="R68" s="2">
        <f>POWER(R$4-D68,2)</f>
        <v>1.6000000000000029E-3</v>
      </c>
      <c r="S68" s="7">
        <f t="shared" si="4"/>
        <v>0.86267490980090566</v>
      </c>
      <c r="T68" s="2">
        <f>POWER(T$4-A68,2)</f>
        <v>0.23920991735536945</v>
      </c>
      <c r="U68" s="2">
        <f>POWER(U$4-B68,2)</f>
        <v>2.6776859504132649E-2</v>
      </c>
      <c r="V68" s="2">
        <f>POWER(V$4-C68,2)</f>
        <v>0.38892231404958721</v>
      </c>
      <c r="W68" s="2">
        <f>POWER(W$4-D68,2)</f>
        <v>0.44041322314049519</v>
      </c>
      <c r="X68" s="7">
        <f t="shared" si="5"/>
        <v>1.0465764731015046</v>
      </c>
      <c r="Y68" s="9">
        <f t="shared" si="6"/>
        <v>0.86267490980090566</v>
      </c>
      <c r="Z68" t="str">
        <f>IF(Y68=N68,"C1",IF(Y68=S68,"C2",IF(Y68=X68,"C3")))</f>
        <v>C2</v>
      </c>
    </row>
    <row r="69" spans="1:26" x14ac:dyDescent="0.2">
      <c r="A69">
        <v>6.4</v>
      </c>
      <c r="B69">
        <v>2.9</v>
      </c>
      <c r="C69">
        <v>4.3</v>
      </c>
      <c r="D69">
        <v>1.3</v>
      </c>
      <c r="E69" s="3" t="s">
        <v>6</v>
      </c>
      <c r="J69" s="2">
        <f>POWER(J$4-A69,2)</f>
        <v>2.0022249999999975</v>
      </c>
      <c r="K69" s="2">
        <f>POWER(K$4-B69,2)</f>
        <v>0.2626562500000002</v>
      </c>
      <c r="L69" s="2">
        <f>POWER(L$4-C69,2)</f>
        <v>8.1225000000000005</v>
      </c>
      <c r="M69" s="2">
        <f>POWER(M$4-D69,2)</f>
        <v>1.1025000000000005</v>
      </c>
      <c r="N69" s="7">
        <f t="shared" si="3"/>
        <v>3.3896727349406457</v>
      </c>
      <c r="O69" s="2">
        <f>POWER(O$4-A69,2)</f>
        <v>0.64641600000000188</v>
      </c>
      <c r="P69" s="2">
        <f>POWER(P$4-B69,2)</f>
        <v>5.9536000000000103E-2</v>
      </c>
      <c r="Q69" s="2">
        <f>POWER(Q$4-C69,2)</f>
        <v>8.0655999999999894E-2</v>
      </c>
      <c r="R69" s="2">
        <f>POWER(R$4-D69,2)</f>
        <v>3.6000000000000064E-3</v>
      </c>
      <c r="S69" s="7">
        <f t="shared" si="4"/>
        <v>0.8889364431724025</v>
      </c>
      <c r="T69" s="2">
        <f>POWER(T$4-A69,2)</f>
        <v>3.5755371900825228E-2</v>
      </c>
      <c r="U69" s="2">
        <f>POWER(U$4-B69,2)</f>
        <v>4.0495867768596556E-3</v>
      </c>
      <c r="V69" s="2">
        <f>POWER(V$4-C69,2)</f>
        <v>1.0478314049586792</v>
      </c>
      <c r="W69" s="2">
        <f>POWER(W$4-D69,2)</f>
        <v>0.31768595041322245</v>
      </c>
      <c r="X69" s="7">
        <f t="shared" si="5"/>
        <v>1.1854629112922879</v>
      </c>
      <c r="Y69" s="9">
        <f t="shared" si="6"/>
        <v>0.8889364431724025</v>
      </c>
      <c r="Z69" t="str">
        <f>IF(Y69=N69,"C1",IF(Y69=S69,"C2",IF(Y69=X69,"C3")))</f>
        <v>C2</v>
      </c>
    </row>
    <row r="70" spans="1:26" x14ac:dyDescent="0.2">
      <c r="A70">
        <v>6.6</v>
      </c>
      <c r="B70">
        <v>3</v>
      </c>
      <c r="C70">
        <v>4.4000000000000004</v>
      </c>
      <c r="D70">
        <v>1.4</v>
      </c>
      <c r="E70" s="3" t="s">
        <v>6</v>
      </c>
      <c r="J70" s="2">
        <f>POWER(J$4-A70,2)</f>
        <v>2.6082249999999951</v>
      </c>
      <c r="K70" s="2">
        <f>POWER(K$4-B70,2)</f>
        <v>0.17015625000000006</v>
      </c>
      <c r="L70" s="2">
        <f>POWER(L$4-C70,2)</f>
        <v>8.7025000000000041</v>
      </c>
      <c r="M70" s="2">
        <f>POWER(M$4-D70,2)</f>
        <v>1.3225000000000002</v>
      </c>
      <c r="N70" s="7">
        <f t="shared" ref="N70:N124" si="8">SQRT(SUM(J70:M70))</f>
        <v>3.5781812768500143</v>
      </c>
      <c r="O70" s="2">
        <f>POWER(O$4-A70,2)</f>
        <v>1.0080160000000009</v>
      </c>
      <c r="P70" s="2">
        <f>POWER(P$4-B70,2)</f>
        <v>0.1183360000000002</v>
      </c>
      <c r="Q70" s="2">
        <f>POWER(Q$4-C70,2)</f>
        <v>0.14745600000000025</v>
      </c>
      <c r="R70" s="2">
        <f>POWER(R$4-D70,2)</f>
        <v>2.5599999999999973E-2</v>
      </c>
      <c r="S70" s="7">
        <f t="shared" ref="S70:S124" si="9">SQRT(SUM(O70:R70))</f>
        <v>1.1399157863631864</v>
      </c>
      <c r="T70" s="2">
        <f>POWER(T$4-A70,2)</f>
        <v>1.1900826446286474E-4</v>
      </c>
      <c r="U70" s="2">
        <f>POWER(U$4-B70,2)</f>
        <v>1.3223140495866969E-3</v>
      </c>
      <c r="V70" s="2">
        <f>POWER(V$4-C70,2)</f>
        <v>0.85310413223140524</v>
      </c>
      <c r="W70" s="2">
        <f>POWER(W$4-D70,2)</f>
        <v>0.21495867768594998</v>
      </c>
      <c r="X70" s="7">
        <f t="shared" ref="X70:X124" si="10">SQRT(SUM(T70:W70))</f>
        <v>1.0341683287702272</v>
      </c>
      <c r="Y70" s="9">
        <f t="shared" ref="Y70:Y124" si="11">MIN(N70,S70,X70)</f>
        <v>1.0341683287702272</v>
      </c>
      <c r="Z70" t="str">
        <f>IF(Y70=N70,"C1",IF(Y70=S70,"C2",IF(Y70=X70,"C3")))</f>
        <v>C3</v>
      </c>
    </row>
    <row r="71" spans="1:26" x14ac:dyDescent="0.2">
      <c r="A71">
        <v>6.8</v>
      </c>
      <c r="B71">
        <v>2.8</v>
      </c>
      <c r="C71">
        <v>4.8</v>
      </c>
      <c r="D71">
        <v>1.4</v>
      </c>
      <c r="E71" s="3" t="s">
        <v>6</v>
      </c>
      <c r="J71" s="2">
        <f>POWER(J$4-A71,2)</f>
        <v>3.2942249999999951</v>
      </c>
      <c r="K71" s="2">
        <f>POWER(K$4-B71,2)</f>
        <v>0.3751562500000003</v>
      </c>
      <c r="L71" s="2">
        <f>POWER(L$4-C71,2)</f>
        <v>11.2225</v>
      </c>
      <c r="M71" s="2">
        <f>POWER(M$4-D71,2)</f>
        <v>1.3225000000000002</v>
      </c>
      <c r="N71" s="7">
        <f t="shared" si="8"/>
        <v>4.0267084883313808</v>
      </c>
      <c r="O71" s="2">
        <f>POWER(O$4-A71,2)</f>
        <v>1.4496160000000016</v>
      </c>
      <c r="P71" s="2">
        <f>POWER(P$4-B71,2)</f>
        <v>2.0736000000000036E-2</v>
      </c>
      <c r="Q71" s="2">
        <f>POWER(Q$4-C71,2)</f>
        <v>0.61465599999999965</v>
      </c>
      <c r="R71" s="2">
        <f>POWER(R$4-D71,2)</f>
        <v>2.5599999999999973E-2</v>
      </c>
      <c r="S71" s="7">
        <f t="shared" si="9"/>
        <v>1.4527931717901212</v>
      </c>
      <c r="T71" s="2">
        <f>POWER(T$4-A71,2)</f>
        <v>4.448264462810031E-2</v>
      </c>
      <c r="U71" s="2">
        <f>POWER(U$4-B71,2)</f>
        <v>2.6776859504132649E-2</v>
      </c>
      <c r="V71" s="2">
        <f>POWER(V$4-C71,2)</f>
        <v>0.27419504132231481</v>
      </c>
      <c r="W71" s="2">
        <f>POWER(W$4-D71,2)</f>
        <v>0.21495867768594998</v>
      </c>
      <c r="X71" s="7">
        <f t="shared" si="10"/>
        <v>0.74860752276509868</v>
      </c>
      <c r="Y71" s="9">
        <f t="shared" si="11"/>
        <v>0.74860752276509868</v>
      </c>
      <c r="Z71" t="str">
        <f>IF(Y71=N71,"C1",IF(Y71=S71,"C2",IF(Y71=X71,"C3")))</f>
        <v>C3</v>
      </c>
    </row>
    <row r="72" spans="1:26" x14ac:dyDescent="0.2">
      <c r="A72">
        <v>6.7</v>
      </c>
      <c r="B72">
        <v>3</v>
      </c>
      <c r="C72">
        <v>5</v>
      </c>
      <c r="D72">
        <v>1.7</v>
      </c>
      <c r="E72" s="3" t="s">
        <v>6</v>
      </c>
      <c r="J72" s="2">
        <f>POWER(J$4-A72,2)</f>
        <v>2.9412249999999966</v>
      </c>
      <c r="K72" s="2">
        <f>POWER(K$4-B72,2)</f>
        <v>0.17015625000000006</v>
      </c>
      <c r="L72" s="2">
        <f>POWER(L$4-C72,2)</f>
        <v>12.602500000000003</v>
      </c>
      <c r="M72" s="2">
        <f>POWER(M$4-D72,2)</f>
        <v>2.1025000000000005</v>
      </c>
      <c r="N72" s="7">
        <f t="shared" si="8"/>
        <v>4.2209455398050331</v>
      </c>
      <c r="O72" s="2">
        <f>POWER(O$4-A72,2)</f>
        <v>1.2188160000000021</v>
      </c>
      <c r="P72" s="2">
        <f>POWER(P$4-B72,2)</f>
        <v>0.1183360000000002</v>
      </c>
      <c r="Q72" s="2">
        <f>POWER(Q$4-C72,2)</f>
        <v>0.96825600000000001</v>
      </c>
      <c r="R72" s="2">
        <f>POWER(R$4-D72,2)</f>
        <v>0.21159999999999995</v>
      </c>
      <c r="S72" s="7">
        <f t="shared" si="9"/>
        <v>1.5865081153274956</v>
      </c>
      <c r="T72" s="2">
        <f>POWER(T$4-A72,2)</f>
        <v>1.2300826446281667E-2</v>
      </c>
      <c r="U72" s="2">
        <f>POWER(U$4-B72,2)</f>
        <v>1.3223140495866969E-3</v>
      </c>
      <c r="V72" s="2">
        <f>POWER(V$4-C72,2)</f>
        <v>0.10474049586776894</v>
      </c>
      <c r="W72" s="2">
        <f>POWER(W$4-D72,2)</f>
        <v>2.6776859504132066E-2</v>
      </c>
      <c r="X72" s="7">
        <f t="shared" si="10"/>
        <v>0.38097309073971269</v>
      </c>
      <c r="Y72" s="9">
        <f t="shared" si="11"/>
        <v>0.38097309073971269</v>
      </c>
      <c r="Z72" t="str">
        <f>IF(Y72=N72,"C1",IF(Y72=S72,"C2",IF(Y72=X72,"C3")))</f>
        <v>C3</v>
      </c>
    </row>
    <row r="73" spans="1:26" x14ac:dyDescent="0.2">
      <c r="A73">
        <v>6</v>
      </c>
      <c r="B73">
        <v>2.9</v>
      </c>
      <c r="C73">
        <v>4.5</v>
      </c>
      <c r="D73">
        <v>1.5</v>
      </c>
      <c r="E73" s="3" t="s">
        <v>6</v>
      </c>
      <c r="J73" s="2">
        <f>POWER(J$4-A73,2)</f>
        <v>1.0302249999999975</v>
      </c>
      <c r="K73" s="2">
        <f>POWER(K$4-B73,2)</f>
        <v>0.2626562500000002</v>
      </c>
      <c r="L73" s="2">
        <f>POWER(L$4-C73,2)</f>
        <v>9.302500000000002</v>
      </c>
      <c r="M73" s="2">
        <f>POWER(M$4-D73,2)</f>
        <v>1.5625000000000007</v>
      </c>
      <c r="N73" s="7">
        <f t="shared" si="8"/>
        <v>3.486815344981721</v>
      </c>
      <c r="O73" s="2">
        <f>POWER(O$4-A73,2)</f>
        <v>0.16321600000000064</v>
      </c>
      <c r="P73" s="2">
        <f>POWER(P$4-B73,2)</f>
        <v>5.9536000000000103E-2</v>
      </c>
      <c r="Q73" s="2">
        <f>POWER(Q$4-C73,2)</f>
        <v>0.23425599999999999</v>
      </c>
      <c r="R73" s="2">
        <f>POWER(R$4-D73,2)</f>
        <v>6.7600000000000007E-2</v>
      </c>
      <c r="S73" s="7">
        <f t="shared" si="9"/>
        <v>0.72429828109695304</v>
      </c>
      <c r="T73" s="2">
        <f>POWER(T$4-A73,2)</f>
        <v>0.34702809917355032</v>
      </c>
      <c r="U73" s="2">
        <f>POWER(U$4-B73,2)</f>
        <v>4.0495867768596556E-3</v>
      </c>
      <c r="V73" s="2">
        <f>POWER(V$4-C73,2)</f>
        <v>0.67837685950413307</v>
      </c>
      <c r="W73" s="2">
        <f>POWER(W$4-D73,2)</f>
        <v>0.1322314049586773</v>
      </c>
      <c r="X73" s="7">
        <f t="shared" si="10"/>
        <v>1.077815360074823</v>
      </c>
      <c r="Y73" s="9">
        <f t="shared" si="11"/>
        <v>0.72429828109695304</v>
      </c>
      <c r="Z73" t="str">
        <f>IF(Y73=N73,"C1",IF(Y73=S73,"C2",IF(Y73=X73,"C3")))</f>
        <v>C2</v>
      </c>
    </row>
    <row r="74" spans="1:26" x14ac:dyDescent="0.2">
      <c r="A74">
        <v>5.7</v>
      </c>
      <c r="B74">
        <v>2.6</v>
      </c>
      <c r="C74">
        <v>3.5</v>
      </c>
      <c r="D74">
        <v>1</v>
      </c>
      <c r="E74" s="3" t="s">
        <v>6</v>
      </c>
      <c r="J74" s="2">
        <f>POWER(J$4-A74,2)</f>
        <v>0.51122499999999849</v>
      </c>
      <c r="K74" s="2">
        <f>POWER(K$4-B74,2)</f>
        <v>0.66015625</v>
      </c>
      <c r="L74" s="2">
        <f>POWER(L$4-C74,2)</f>
        <v>4.2025000000000015</v>
      </c>
      <c r="M74" s="2">
        <f>POWER(M$4-D74,2)</f>
        <v>0.56250000000000033</v>
      </c>
      <c r="N74" s="7">
        <f t="shared" si="8"/>
        <v>2.4364690127313335</v>
      </c>
      <c r="O74" s="2">
        <f>POWER(O$4-A74,2)</f>
        <v>1.0816000000000204E-2</v>
      </c>
      <c r="P74" s="2">
        <f>POWER(P$4-B74,2)</f>
        <v>3.1359999999999557E-3</v>
      </c>
      <c r="Q74" s="2">
        <f>POWER(Q$4-C74,2)</f>
        <v>0.26625599999999999</v>
      </c>
      <c r="R74" s="2">
        <f>POWER(R$4-D74,2)</f>
        <v>5.7599999999999998E-2</v>
      </c>
      <c r="S74" s="7">
        <f t="shared" si="9"/>
        <v>0.58121252567369885</v>
      </c>
      <c r="T74" s="2">
        <f>POWER(T$4-A74,2)</f>
        <v>0.79048264462809381</v>
      </c>
      <c r="U74" s="2">
        <f>POWER(U$4-B74,2)</f>
        <v>0.13223140495867841</v>
      </c>
      <c r="V74" s="2">
        <f>POWER(V$4-C74,2)</f>
        <v>3.3256495867768616</v>
      </c>
      <c r="W74" s="2">
        <f>POWER(W$4-D74,2)</f>
        <v>0.74586776859504034</v>
      </c>
      <c r="X74" s="7">
        <f t="shared" si="10"/>
        <v>2.2347777081756197</v>
      </c>
      <c r="Y74" s="9">
        <f t="shared" si="11"/>
        <v>0.58121252567369885</v>
      </c>
      <c r="Z74" t="str">
        <f>IF(Y74=N74,"C1",IF(Y74=S74,"C2",IF(Y74=X74,"C3")))</f>
        <v>C2</v>
      </c>
    </row>
    <row r="75" spans="1:26" x14ac:dyDescent="0.2">
      <c r="A75">
        <v>5.5</v>
      </c>
      <c r="B75">
        <v>2.6</v>
      </c>
      <c r="C75">
        <v>4.4000000000000004</v>
      </c>
      <c r="D75">
        <v>1.2</v>
      </c>
      <c r="E75" s="3" t="s">
        <v>6</v>
      </c>
      <c r="J75" s="2">
        <f>POWER(J$4-A75,2)</f>
        <v>0.26522499999999877</v>
      </c>
      <c r="K75" s="2">
        <f>POWER(K$4-B75,2)</f>
        <v>0.66015625</v>
      </c>
      <c r="L75" s="2">
        <f>POWER(L$4-C75,2)</f>
        <v>8.7025000000000041</v>
      </c>
      <c r="M75" s="2">
        <f>POWER(M$4-D75,2)</f>
        <v>0.9025000000000003</v>
      </c>
      <c r="N75" s="7">
        <f t="shared" si="8"/>
        <v>3.2450548916774893</v>
      </c>
      <c r="O75" s="2">
        <f>POWER(O$4-A75,2)</f>
        <v>9.2159999999998458E-3</v>
      </c>
      <c r="P75" s="2">
        <f>POWER(P$4-B75,2)</f>
        <v>3.1359999999999557E-3</v>
      </c>
      <c r="Q75" s="2">
        <f>POWER(Q$4-C75,2)</f>
        <v>0.14745600000000025</v>
      </c>
      <c r="R75" s="2">
        <f>POWER(R$4-D75,2)</f>
        <v>1.6000000000000029E-3</v>
      </c>
      <c r="S75" s="7">
        <f t="shared" si="9"/>
        <v>0.40175614494367107</v>
      </c>
      <c r="T75" s="2">
        <f>POWER(T$4-A75,2)</f>
        <v>1.1861190082644566</v>
      </c>
      <c r="U75" s="2">
        <f>POWER(U$4-B75,2)</f>
        <v>0.13223140495867841</v>
      </c>
      <c r="V75" s="2">
        <f>POWER(V$4-C75,2)</f>
        <v>0.85310413223140524</v>
      </c>
      <c r="W75" s="2">
        <f>POWER(W$4-D75,2)</f>
        <v>0.44041322314049519</v>
      </c>
      <c r="X75" s="7">
        <f t="shared" si="10"/>
        <v>1.6161273986276685</v>
      </c>
      <c r="Y75" s="9">
        <f t="shared" si="11"/>
        <v>0.40175614494367107</v>
      </c>
      <c r="Z75" t="str">
        <f>IF(Y75=N75,"C1",IF(Y75=S75,"C2",IF(Y75=X75,"C3")))</f>
        <v>C2</v>
      </c>
    </row>
    <row r="76" spans="1:26" x14ac:dyDescent="0.2">
      <c r="A76">
        <v>6.1</v>
      </c>
      <c r="B76">
        <v>3</v>
      </c>
      <c r="C76">
        <v>4.5999999999999996</v>
      </c>
      <c r="D76">
        <v>1.4</v>
      </c>
      <c r="E76" s="3" t="s">
        <v>6</v>
      </c>
      <c r="J76" s="2">
        <f>POWER(J$4-A76,2)</f>
        <v>1.2432249999999965</v>
      </c>
      <c r="K76" s="2">
        <f>POWER(K$4-B76,2)</f>
        <v>0.17015625000000006</v>
      </c>
      <c r="L76" s="2">
        <f>POWER(L$4-C76,2)</f>
        <v>9.9224999999999994</v>
      </c>
      <c r="M76" s="2">
        <f>POWER(M$4-D76,2)</f>
        <v>1.3225000000000002</v>
      </c>
      <c r="N76" s="7">
        <f t="shared" si="8"/>
        <v>3.5578618930475638</v>
      </c>
      <c r="O76" s="2">
        <f>POWER(O$4-A76,2)</f>
        <v>0.25401600000000046</v>
      </c>
      <c r="P76" s="2">
        <f>POWER(P$4-B76,2)</f>
        <v>0.1183360000000002</v>
      </c>
      <c r="Q76" s="2">
        <f>POWER(Q$4-C76,2)</f>
        <v>0.34105599999999958</v>
      </c>
      <c r="R76" s="2">
        <f>POWER(R$4-D76,2)</f>
        <v>2.5599999999999973E-2</v>
      </c>
      <c r="S76" s="7">
        <f t="shared" si="9"/>
        <v>0.85965574505147135</v>
      </c>
      <c r="T76" s="2">
        <f>POWER(T$4-A76,2)</f>
        <v>0.23920991735536945</v>
      </c>
      <c r="U76" s="2">
        <f>POWER(U$4-B76,2)</f>
        <v>1.3223140495866969E-3</v>
      </c>
      <c r="V76" s="2">
        <f>POWER(V$4-C76,2)</f>
        <v>0.5236495867768608</v>
      </c>
      <c r="W76" s="2">
        <f>POWER(W$4-D76,2)</f>
        <v>0.21495867768594998</v>
      </c>
      <c r="X76" s="7">
        <f t="shared" si="10"/>
        <v>0.98951528329165639</v>
      </c>
      <c r="Y76" s="9">
        <f t="shared" si="11"/>
        <v>0.85965574505147135</v>
      </c>
      <c r="Z76" t="str">
        <f>IF(Y76=N76,"C1",IF(Y76=S76,"C2",IF(Y76=X76,"C3")))</f>
        <v>C2</v>
      </c>
    </row>
    <row r="77" spans="1:26" x14ac:dyDescent="0.2">
      <c r="A77">
        <v>5.8</v>
      </c>
      <c r="B77">
        <v>2.6</v>
      </c>
      <c r="C77">
        <v>4</v>
      </c>
      <c r="D77">
        <v>1.2</v>
      </c>
      <c r="E77" s="3" t="s">
        <v>6</v>
      </c>
      <c r="J77" s="2">
        <f>POWER(J$4-A77,2)</f>
        <v>0.66422499999999773</v>
      </c>
      <c r="K77" s="2">
        <f>POWER(K$4-B77,2)</f>
        <v>0.66015625</v>
      </c>
      <c r="L77" s="2">
        <f>POWER(L$4-C77,2)</f>
        <v>6.5025000000000013</v>
      </c>
      <c r="M77" s="2">
        <f>POWER(M$4-D77,2)</f>
        <v>0.9025000000000003</v>
      </c>
      <c r="N77" s="7">
        <f t="shared" si="8"/>
        <v>2.9545526311101651</v>
      </c>
      <c r="O77" s="2">
        <f>POWER(O$4-A77,2)</f>
        <v>4.1616000000000257E-2</v>
      </c>
      <c r="P77" s="2">
        <f>POWER(P$4-B77,2)</f>
        <v>3.1359999999999557E-3</v>
      </c>
      <c r="Q77" s="2">
        <f>POWER(Q$4-C77,2)</f>
        <v>2.5600000000000048E-4</v>
      </c>
      <c r="R77" s="2">
        <f>POWER(R$4-D77,2)</f>
        <v>1.6000000000000029E-3</v>
      </c>
      <c r="S77" s="7">
        <f t="shared" si="9"/>
        <v>0.21588886029621865</v>
      </c>
      <c r="T77" s="2">
        <f>POWER(T$4-A77,2)</f>
        <v>0.62266446280991306</v>
      </c>
      <c r="U77" s="2">
        <f>POWER(U$4-B77,2)</f>
        <v>0.13223140495867841</v>
      </c>
      <c r="V77" s="2">
        <f>POWER(V$4-C77,2)</f>
        <v>1.7520132231404972</v>
      </c>
      <c r="W77" s="2">
        <f>POWER(W$4-D77,2)</f>
        <v>0.44041322314049519</v>
      </c>
      <c r="X77" s="7">
        <f t="shared" si="10"/>
        <v>1.7167767222471255</v>
      </c>
      <c r="Y77" s="9">
        <f t="shared" si="11"/>
        <v>0.21588886029621865</v>
      </c>
      <c r="Z77" t="str">
        <f>IF(Y77=N77,"C1",IF(Y77=S77,"C2",IF(Y77=X77,"C3")))</f>
        <v>C2</v>
      </c>
    </row>
    <row r="78" spans="1:26" x14ac:dyDescent="0.2">
      <c r="A78">
        <v>5</v>
      </c>
      <c r="B78">
        <v>2.2999999999999998</v>
      </c>
      <c r="C78">
        <v>3.3</v>
      </c>
      <c r="D78">
        <v>1</v>
      </c>
      <c r="E78" s="3" t="s">
        <v>6</v>
      </c>
      <c r="J78" s="2">
        <f>POWER(J$4-A78,2)</f>
        <v>2.2499999999996375E-4</v>
      </c>
      <c r="K78" s="2">
        <f>POWER(K$4-B78,2)</f>
        <v>1.2376562500000006</v>
      </c>
      <c r="L78" s="2">
        <f>POWER(L$4-C78,2)</f>
        <v>3.4225000000000003</v>
      </c>
      <c r="M78" s="2">
        <f>POWER(M$4-D78,2)</f>
        <v>0.56250000000000033</v>
      </c>
      <c r="N78" s="7">
        <f t="shared" si="8"/>
        <v>2.2853623892065782</v>
      </c>
      <c r="O78" s="2">
        <f>POWER(O$4-A78,2)</f>
        <v>0.35521599999999903</v>
      </c>
      <c r="P78" s="2">
        <f>POWER(P$4-B78,2)</f>
        <v>0.1267359999999999</v>
      </c>
      <c r="Q78" s="2">
        <f>POWER(Q$4-C78,2)</f>
        <v>0.51265600000000022</v>
      </c>
      <c r="R78" s="2">
        <f>POWER(R$4-D78,2)</f>
        <v>5.7599999999999998E-2</v>
      </c>
      <c r="S78" s="7">
        <f t="shared" si="9"/>
        <v>1.0257719044699942</v>
      </c>
      <c r="T78" s="2">
        <f>POWER(T$4-A78,2)</f>
        <v>2.5252099173553626</v>
      </c>
      <c r="U78" s="2">
        <f>POWER(U$4-B78,2)</f>
        <v>0.44041322314049758</v>
      </c>
      <c r="V78" s="2">
        <f>POWER(V$4-C78,2)</f>
        <v>4.0951041322314081</v>
      </c>
      <c r="W78" s="2">
        <f>POWER(W$4-D78,2)</f>
        <v>0.74586776859504034</v>
      </c>
      <c r="X78" s="7">
        <f t="shared" si="10"/>
        <v>2.7940284610795052</v>
      </c>
      <c r="Y78" s="9">
        <f t="shared" si="11"/>
        <v>1.0257719044699942</v>
      </c>
      <c r="Z78" t="str">
        <f>IF(Y78=N78,"C1",IF(Y78=S78,"C2",IF(Y78=X78,"C3")))</f>
        <v>C2</v>
      </c>
    </row>
    <row r="79" spans="1:26" x14ac:dyDescent="0.2">
      <c r="A79">
        <v>5.6</v>
      </c>
      <c r="B79">
        <v>2.7</v>
      </c>
      <c r="C79">
        <v>4.2</v>
      </c>
      <c r="D79">
        <v>1.3</v>
      </c>
      <c r="E79" s="3" t="s">
        <v>6</v>
      </c>
      <c r="J79" s="2">
        <f>POWER(J$4-A79,2)</f>
        <v>0.37822499999999809</v>
      </c>
      <c r="K79" s="2">
        <f>POWER(K$4-B79,2)</f>
        <v>0.50765624999999992</v>
      </c>
      <c r="L79" s="2">
        <f>POWER(L$4-C79,2)</f>
        <v>7.5625000000000027</v>
      </c>
      <c r="M79" s="2">
        <f>POWER(M$4-D79,2)</f>
        <v>1.1025000000000005</v>
      </c>
      <c r="N79" s="7">
        <f t="shared" si="8"/>
        <v>3.0904500076849653</v>
      </c>
      <c r="O79" s="2">
        <f>POWER(O$4-A79,2)</f>
        <v>1.6000000000003581E-5</v>
      </c>
      <c r="P79" s="2">
        <f>POWER(P$4-B79,2)</f>
        <v>1.9360000000000425E-3</v>
      </c>
      <c r="Q79" s="2">
        <f>POWER(Q$4-C79,2)</f>
        <v>3.385600000000006E-2</v>
      </c>
      <c r="R79" s="2">
        <f>POWER(R$4-D79,2)</f>
        <v>3.6000000000000064E-3</v>
      </c>
      <c r="S79" s="7">
        <f t="shared" si="9"/>
        <v>0.1985144830988412</v>
      </c>
      <c r="T79" s="2">
        <f>POWER(T$4-A79,2)</f>
        <v>0.97830082644627603</v>
      </c>
      <c r="U79" s="2">
        <f>POWER(U$4-B79,2)</f>
        <v>6.9504132231405447E-2</v>
      </c>
      <c r="V79" s="2">
        <f>POWER(V$4-C79,2)</f>
        <v>1.2625586776859512</v>
      </c>
      <c r="W79" s="2">
        <f>POWER(W$4-D79,2)</f>
        <v>0.31768595041322245</v>
      </c>
      <c r="X79" s="7">
        <f t="shared" si="10"/>
        <v>1.621126024335201</v>
      </c>
      <c r="Y79" s="9">
        <f t="shared" si="11"/>
        <v>0.1985144830988412</v>
      </c>
      <c r="Z79" t="str">
        <f>IF(Y79=N79,"C1",IF(Y79=S79,"C2",IF(Y79=X79,"C3")))</f>
        <v>C2</v>
      </c>
    </row>
    <row r="80" spans="1:26" x14ac:dyDescent="0.2">
      <c r="A80">
        <v>5.7</v>
      </c>
      <c r="B80">
        <v>3</v>
      </c>
      <c r="C80">
        <v>4.2</v>
      </c>
      <c r="D80">
        <v>1.2</v>
      </c>
      <c r="E80" s="3" t="s">
        <v>6</v>
      </c>
      <c r="J80" s="2">
        <f>POWER(J$4-A80,2)</f>
        <v>0.51122499999999849</v>
      </c>
      <c r="K80" s="2">
        <f>POWER(K$4-B80,2)</f>
        <v>0.17015625000000006</v>
      </c>
      <c r="L80" s="2">
        <f>POWER(L$4-C80,2)</f>
        <v>7.5625000000000027</v>
      </c>
      <c r="M80" s="2">
        <f>POWER(M$4-D80,2)</f>
        <v>0.9025000000000003</v>
      </c>
      <c r="N80" s="7">
        <f t="shared" si="8"/>
        <v>3.024298472373387</v>
      </c>
      <c r="O80" s="2">
        <f>POWER(O$4-A80,2)</f>
        <v>1.0816000000000204E-2</v>
      </c>
      <c r="P80" s="2">
        <f>POWER(P$4-B80,2)</f>
        <v>0.1183360000000002</v>
      </c>
      <c r="Q80" s="2">
        <f>POWER(Q$4-C80,2)</f>
        <v>3.385600000000006E-2</v>
      </c>
      <c r="R80" s="2">
        <f>POWER(R$4-D80,2)</f>
        <v>1.6000000000000029E-3</v>
      </c>
      <c r="S80" s="7">
        <f t="shared" si="9"/>
        <v>0.40571911465939148</v>
      </c>
      <c r="T80" s="2">
        <f>POWER(T$4-A80,2)</f>
        <v>0.79048264462809381</v>
      </c>
      <c r="U80" s="2">
        <f>POWER(U$4-B80,2)</f>
        <v>1.3223140495866969E-3</v>
      </c>
      <c r="V80" s="2">
        <f>POWER(V$4-C80,2)</f>
        <v>1.2625586776859512</v>
      </c>
      <c r="W80" s="2">
        <f>POWER(W$4-D80,2)</f>
        <v>0.44041322314049519</v>
      </c>
      <c r="X80" s="7">
        <f t="shared" si="10"/>
        <v>1.5794862644240142</v>
      </c>
      <c r="Y80" s="9">
        <f t="shared" si="11"/>
        <v>0.40571911465939148</v>
      </c>
      <c r="Z80" t="str">
        <f>IF(Y80=N80,"C1",IF(Y80=S80,"C2",IF(Y80=X80,"C3")))</f>
        <v>C2</v>
      </c>
    </row>
    <row r="81" spans="1:26" x14ac:dyDescent="0.2">
      <c r="A81">
        <v>5.7</v>
      </c>
      <c r="B81">
        <v>2.9</v>
      </c>
      <c r="C81">
        <v>4.2</v>
      </c>
      <c r="D81">
        <v>1.3</v>
      </c>
      <c r="E81" s="3" t="s">
        <v>6</v>
      </c>
      <c r="J81" s="2">
        <f>POWER(J$4-A81,2)</f>
        <v>0.51122499999999849</v>
      </c>
      <c r="K81" s="2">
        <f>POWER(K$4-B81,2)</f>
        <v>0.2626562500000002</v>
      </c>
      <c r="L81" s="2">
        <f>POWER(L$4-C81,2)</f>
        <v>7.5625000000000027</v>
      </c>
      <c r="M81" s="2">
        <f>POWER(M$4-D81,2)</f>
        <v>1.1025000000000005</v>
      </c>
      <c r="N81" s="7">
        <f t="shared" si="8"/>
        <v>3.0722762326978352</v>
      </c>
      <c r="O81" s="2">
        <f>POWER(O$4-A81,2)</f>
        <v>1.0816000000000204E-2</v>
      </c>
      <c r="P81" s="2">
        <f>POWER(P$4-B81,2)</f>
        <v>5.9536000000000103E-2</v>
      </c>
      <c r="Q81" s="2">
        <f>POWER(Q$4-C81,2)</f>
        <v>3.385600000000006E-2</v>
      </c>
      <c r="R81" s="2">
        <f>POWER(R$4-D81,2)</f>
        <v>3.6000000000000064E-3</v>
      </c>
      <c r="S81" s="7">
        <f t="shared" si="9"/>
        <v>0.32834128585969868</v>
      </c>
      <c r="T81" s="2">
        <f>POWER(T$4-A81,2)</f>
        <v>0.79048264462809381</v>
      </c>
      <c r="U81" s="2">
        <f>POWER(U$4-B81,2)</f>
        <v>4.0495867768596556E-3</v>
      </c>
      <c r="V81" s="2">
        <f>POWER(V$4-C81,2)</f>
        <v>1.2625586776859512</v>
      </c>
      <c r="W81" s="2">
        <f>POWER(W$4-D81,2)</f>
        <v>0.31768595041322245</v>
      </c>
      <c r="X81" s="7">
        <f t="shared" si="10"/>
        <v>1.5410311027049801</v>
      </c>
      <c r="Y81" s="9">
        <f t="shared" si="11"/>
        <v>0.32834128585969868</v>
      </c>
      <c r="Z81" t="str">
        <f>IF(Y81=N81,"C1",IF(Y81=S81,"C2",IF(Y81=X81,"C3")))</f>
        <v>C2</v>
      </c>
    </row>
    <row r="82" spans="1:26" x14ac:dyDescent="0.2">
      <c r="A82">
        <v>6.2</v>
      </c>
      <c r="B82">
        <v>2.9</v>
      </c>
      <c r="C82">
        <v>4.3</v>
      </c>
      <c r="D82">
        <v>1.3</v>
      </c>
      <c r="E82" s="3" t="s">
        <v>6</v>
      </c>
      <c r="J82" s="2">
        <f>POWER(J$4-A82,2)</f>
        <v>1.4762249999999975</v>
      </c>
      <c r="K82" s="2">
        <f>POWER(K$4-B82,2)</f>
        <v>0.2626562500000002</v>
      </c>
      <c r="L82" s="2">
        <f>POWER(L$4-C82,2)</f>
        <v>8.1225000000000005</v>
      </c>
      <c r="M82" s="2">
        <f>POWER(M$4-D82,2)</f>
        <v>1.1025000000000005</v>
      </c>
      <c r="N82" s="7">
        <f t="shared" si="8"/>
        <v>3.3111752067808187</v>
      </c>
      <c r="O82" s="2">
        <f>POWER(O$4-A82,2)</f>
        <v>0.36481600000000119</v>
      </c>
      <c r="P82" s="2">
        <f>POWER(P$4-B82,2)</f>
        <v>5.9536000000000103E-2</v>
      </c>
      <c r="Q82" s="2">
        <f>POWER(Q$4-C82,2)</f>
        <v>8.0655999999999894E-2</v>
      </c>
      <c r="R82" s="2">
        <f>POWER(R$4-D82,2)</f>
        <v>3.6000000000000064E-3</v>
      </c>
      <c r="S82" s="7">
        <f t="shared" si="9"/>
        <v>0.7131675819889749</v>
      </c>
      <c r="T82" s="2">
        <f>POWER(T$4-A82,2)</f>
        <v>0.15139173553718771</v>
      </c>
      <c r="U82" s="2">
        <f>POWER(U$4-B82,2)</f>
        <v>4.0495867768596556E-3</v>
      </c>
      <c r="V82" s="2">
        <f>POWER(V$4-C82,2)</f>
        <v>1.0478314049586792</v>
      </c>
      <c r="W82" s="2">
        <f>POWER(W$4-D82,2)</f>
        <v>0.31768595041322245</v>
      </c>
      <c r="X82" s="7">
        <f t="shared" si="10"/>
        <v>1.2332715344505236</v>
      </c>
      <c r="Y82" s="9">
        <f t="shared" si="11"/>
        <v>0.7131675819889749</v>
      </c>
      <c r="Z82" t="str">
        <f>IF(Y82=N82,"C1",IF(Y82=S82,"C2",IF(Y82=X82,"C3")))</f>
        <v>C2</v>
      </c>
    </row>
    <row r="83" spans="1:26" x14ac:dyDescent="0.2">
      <c r="A83">
        <v>5.0999999999999996</v>
      </c>
      <c r="B83">
        <v>2.5</v>
      </c>
      <c r="C83">
        <v>3</v>
      </c>
      <c r="D83">
        <v>1.1000000000000001</v>
      </c>
      <c r="E83" s="3" t="s">
        <v>6</v>
      </c>
      <c r="J83" s="2">
        <f>POWER(J$4-A83,2)</f>
        <v>1.322499999999964E-2</v>
      </c>
      <c r="K83" s="2">
        <f>POWER(K$4-B83,2)</f>
        <v>0.83265625000000021</v>
      </c>
      <c r="L83" s="2">
        <f>POWER(L$4-C83,2)</f>
        <v>2.4025000000000007</v>
      </c>
      <c r="M83" s="2">
        <f>POWER(M$4-D83,2)</f>
        <v>0.72250000000000048</v>
      </c>
      <c r="N83" s="7">
        <f t="shared" si="8"/>
        <v>1.992707015594616</v>
      </c>
      <c r="O83" s="2">
        <f>POWER(O$4-A83,2)</f>
        <v>0.24601599999999957</v>
      </c>
      <c r="P83" s="2">
        <f>POWER(P$4-B83,2)</f>
        <v>2.4335999999999906E-2</v>
      </c>
      <c r="Q83" s="2">
        <f>POWER(Q$4-C83,2)</f>
        <v>1.0322560000000001</v>
      </c>
      <c r="R83" s="2">
        <f>POWER(R$4-D83,2)</f>
        <v>1.9599999999999972E-2</v>
      </c>
      <c r="S83" s="7">
        <f t="shared" si="9"/>
        <v>1.149873036469679</v>
      </c>
      <c r="T83" s="2">
        <f>POWER(T$4-A83,2)</f>
        <v>2.2173917355371824</v>
      </c>
      <c r="U83" s="2">
        <f>POWER(U$4-B83,2)</f>
        <v>0.21495867768595142</v>
      </c>
      <c r="V83" s="2">
        <f>POWER(V$4-C83,2)</f>
        <v>5.3992859504132253</v>
      </c>
      <c r="W83" s="2">
        <f>POWER(W$4-D83,2)</f>
        <v>0.58314049586776762</v>
      </c>
      <c r="X83" s="7">
        <f t="shared" si="10"/>
        <v>2.9008234795492345</v>
      </c>
      <c r="Y83" s="9">
        <f t="shared" si="11"/>
        <v>1.149873036469679</v>
      </c>
      <c r="Z83" t="str">
        <f>IF(Y83=N83,"C1",IF(Y83=S83,"C2",IF(Y83=X83,"C3")))</f>
        <v>C2</v>
      </c>
    </row>
    <row r="84" spans="1:26" x14ac:dyDescent="0.2">
      <c r="A84">
        <v>5.7</v>
      </c>
      <c r="B84">
        <v>2.8</v>
      </c>
      <c r="C84">
        <v>4.0999999999999996</v>
      </c>
      <c r="D84">
        <v>1.3</v>
      </c>
      <c r="E84" s="3" t="s">
        <v>6</v>
      </c>
      <c r="J84" s="2">
        <f>POWER(J$4-A84,2)</f>
        <v>0.51122499999999849</v>
      </c>
      <c r="K84" s="2">
        <f>POWER(K$4-B84,2)</f>
        <v>0.3751562500000003</v>
      </c>
      <c r="L84" s="2">
        <f>POWER(L$4-C84,2)</f>
        <v>7.0225</v>
      </c>
      <c r="M84" s="2">
        <f>POWER(M$4-D84,2)</f>
        <v>1.1025000000000005</v>
      </c>
      <c r="N84" s="7">
        <f t="shared" si="8"/>
        <v>3.0018962756897514</v>
      </c>
      <c r="O84" s="2">
        <f>POWER(O$4-A84,2)</f>
        <v>1.0816000000000204E-2</v>
      </c>
      <c r="P84" s="2">
        <f>POWER(P$4-B84,2)</f>
        <v>2.0736000000000036E-2</v>
      </c>
      <c r="Q84" s="2">
        <f>POWER(Q$4-C84,2)</f>
        <v>7.0559999999999382E-3</v>
      </c>
      <c r="R84" s="2">
        <f>POWER(R$4-D84,2)</f>
        <v>3.6000000000000064E-3</v>
      </c>
      <c r="S84" s="7">
        <f t="shared" si="9"/>
        <v>0.20544585661434056</v>
      </c>
      <c r="T84" s="2">
        <f>POWER(T$4-A84,2)</f>
        <v>0.79048264462809381</v>
      </c>
      <c r="U84" s="2">
        <f>POWER(U$4-B84,2)</f>
        <v>2.6776859504132649E-2</v>
      </c>
      <c r="V84" s="2">
        <f>POWER(V$4-C84,2)</f>
        <v>1.4972859504132252</v>
      </c>
      <c r="W84" s="2">
        <f>POWER(W$4-D84,2)</f>
        <v>0.31768595041322245</v>
      </c>
      <c r="X84" s="7">
        <f t="shared" si="10"/>
        <v>1.6224152997795214</v>
      </c>
      <c r="Y84" s="9">
        <f t="shared" si="11"/>
        <v>0.20544585661434056</v>
      </c>
      <c r="Z84" t="str">
        <f>IF(Y84=N84,"C1",IF(Y84=S84,"C2",IF(Y84=X84,"C3")))</f>
        <v>C2</v>
      </c>
    </row>
    <row r="85" spans="1:26" x14ac:dyDescent="0.2">
      <c r="A85">
        <v>6.3</v>
      </c>
      <c r="B85">
        <v>3.3</v>
      </c>
      <c r="C85">
        <v>6</v>
      </c>
      <c r="D85">
        <v>2.5</v>
      </c>
      <c r="E85" s="3" t="s">
        <v>7</v>
      </c>
      <c r="J85" s="2">
        <f>POWER(J$4-A85,2)</f>
        <v>1.7292249999999965</v>
      </c>
      <c r="K85" s="2">
        <f>POWER(K$4-B85,2)</f>
        <v>1.265625000000006E-2</v>
      </c>
      <c r="L85" s="2">
        <f>POWER(L$4-C85,2)</f>
        <v>20.702500000000008</v>
      </c>
      <c r="M85" s="2">
        <f>POWER(M$4-D85,2)</f>
        <v>5.0625</v>
      </c>
      <c r="N85" s="7">
        <f t="shared" si="8"/>
        <v>5.2447003012564979</v>
      </c>
      <c r="O85" s="2">
        <f>POWER(O$4-A85,2)</f>
        <v>0.49561600000000089</v>
      </c>
      <c r="P85" s="2">
        <f>POWER(P$4-B85,2)</f>
        <v>0.41473600000000016</v>
      </c>
      <c r="Q85" s="2">
        <f>POWER(Q$4-C85,2)</f>
        <v>3.9362559999999998</v>
      </c>
      <c r="R85" s="2">
        <f>POWER(R$4-D85,2)</f>
        <v>1.5876000000000001</v>
      </c>
      <c r="S85" s="7">
        <f t="shared" si="9"/>
        <v>2.5365740675170518</v>
      </c>
      <c r="T85" s="2">
        <f>POWER(T$4-A85,2)</f>
        <v>8.357355371900671E-2</v>
      </c>
      <c r="U85" s="2">
        <f>POWER(U$4-B85,2)</f>
        <v>0.11314049586776774</v>
      </c>
      <c r="V85" s="2">
        <f>POWER(V$4-C85,2)</f>
        <v>0.45746776859504062</v>
      </c>
      <c r="W85" s="2">
        <f>POWER(W$4-D85,2)</f>
        <v>0.40495867768595112</v>
      </c>
      <c r="X85" s="7">
        <f t="shared" si="10"/>
        <v>1.0291455173432793</v>
      </c>
      <c r="Y85" s="9">
        <f t="shared" si="11"/>
        <v>1.0291455173432793</v>
      </c>
      <c r="Z85" t="str">
        <f>IF(Y85=N85,"C1",IF(Y85=S85,"C2",IF(Y85=X85,"C3")))</f>
        <v>C3</v>
      </c>
    </row>
    <row r="86" spans="1:26" x14ac:dyDescent="0.2">
      <c r="A86">
        <v>5.8</v>
      </c>
      <c r="B86">
        <v>2.7</v>
      </c>
      <c r="C86">
        <v>5.0999999999999996</v>
      </c>
      <c r="D86">
        <v>1.9</v>
      </c>
      <c r="E86" s="3" t="s">
        <v>7</v>
      </c>
      <c r="J86" s="2">
        <f>POWER(J$4-A86,2)</f>
        <v>0.66422499999999773</v>
      </c>
      <c r="K86" s="2">
        <f>POWER(K$4-B86,2)</f>
        <v>0.50765624999999992</v>
      </c>
      <c r="L86" s="2">
        <f>POWER(L$4-C86,2)</f>
        <v>13.3225</v>
      </c>
      <c r="M86" s="2">
        <f>POWER(M$4-D86,2)</f>
        <v>2.7225000000000006</v>
      </c>
      <c r="N86" s="7">
        <f t="shared" si="8"/>
        <v>4.1493229869461832</v>
      </c>
      <c r="O86" s="2">
        <f>POWER(O$4-A86,2)</f>
        <v>4.1616000000000257E-2</v>
      </c>
      <c r="P86" s="2">
        <f>POWER(P$4-B86,2)</f>
        <v>1.9360000000000425E-3</v>
      </c>
      <c r="Q86" s="2">
        <f>POWER(Q$4-C86,2)</f>
        <v>1.1750559999999992</v>
      </c>
      <c r="R86" s="2">
        <f>POWER(R$4-D86,2)</f>
        <v>0.43559999999999988</v>
      </c>
      <c r="S86" s="7">
        <f t="shared" si="9"/>
        <v>1.28616017664986</v>
      </c>
      <c r="T86" s="2">
        <f>POWER(T$4-A86,2)</f>
        <v>0.62266446280991306</v>
      </c>
      <c r="U86" s="2">
        <f>POWER(U$4-B86,2)</f>
        <v>6.9504132231405447E-2</v>
      </c>
      <c r="V86" s="2">
        <f>POWER(V$4-C86,2)</f>
        <v>5.0013223140496263E-2</v>
      </c>
      <c r="W86" s="2">
        <f>POWER(W$4-D86,2)</f>
        <v>1.3223140495868101E-3</v>
      </c>
      <c r="X86" s="7">
        <f t="shared" si="10"/>
        <v>0.86226685673949088</v>
      </c>
      <c r="Y86" s="9">
        <f t="shared" si="11"/>
        <v>0.86226685673949088</v>
      </c>
      <c r="Z86" t="str">
        <f>IF(Y86=N86,"C1",IF(Y86=S86,"C2",IF(Y86=X86,"C3")))</f>
        <v>C3</v>
      </c>
    </row>
    <row r="87" spans="1:26" x14ac:dyDescent="0.2">
      <c r="A87">
        <v>7.1</v>
      </c>
      <c r="B87">
        <v>3</v>
      </c>
      <c r="C87">
        <v>5.9</v>
      </c>
      <c r="D87">
        <v>2.1</v>
      </c>
      <c r="E87" s="3" t="s">
        <v>7</v>
      </c>
      <c r="J87" s="2">
        <f>POWER(J$4-A87,2)</f>
        <v>4.4732249999999931</v>
      </c>
      <c r="K87" s="2">
        <f>POWER(K$4-B87,2)</f>
        <v>0.17015625000000006</v>
      </c>
      <c r="L87" s="2">
        <f>POWER(L$4-C87,2)</f>
        <v>19.802500000000009</v>
      </c>
      <c r="M87" s="2">
        <f>POWER(M$4-D87,2)</f>
        <v>3.4225000000000012</v>
      </c>
      <c r="N87" s="7">
        <f t="shared" si="8"/>
        <v>5.2790511694811224</v>
      </c>
      <c r="O87" s="2">
        <f>POWER(O$4-A87,2)</f>
        <v>2.2620160000000014</v>
      </c>
      <c r="P87" s="2">
        <f>POWER(P$4-B87,2)</f>
        <v>0.1183360000000002</v>
      </c>
      <c r="Q87" s="2">
        <f>POWER(Q$4-C87,2)</f>
        <v>3.5494560000000015</v>
      </c>
      <c r="R87" s="2">
        <f>POWER(R$4-D87,2)</f>
        <v>0.73960000000000015</v>
      </c>
      <c r="S87" s="7">
        <f t="shared" si="9"/>
        <v>2.5825196998280582</v>
      </c>
      <c r="T87" s="2">
        <f>POWER(T$4-A87,2)</f>
        <v>0.26102809917355629</v>
      </c>
      <c r="U87" s="2">
        <f>POWER(U$4-B87,2)</f>
        <v>1.3223140495866969E-3</v>
      </c>
      <c r="V87" s="2">
        <f>POWER(V$4-C87,2)</f>
        <v>0.33219504132231387</v>
      </c>
      <c r="W87" s="2">
        <f>POWER(W$4-D87,2)</f>
        <v>5.5867768595041625E-2</v>
      </c>
      <c r="X87" s="7">
        <f t="shared" si="10"/>
        <v>0.80648200422606986</v>
      </c>
      <c r="Y87" s="9">
        <f t="shared" si="11"/>
        <v>0.80648200422606986</v>
      </c>
      <c r="Z87" t="str">
        <f>IF(Y87=N87,"C1",IF(Y87=S87,"C2",IF(Y87=X87,"C3")))</f>
        <v>C3</v>
      </c>
    </row>
    <row r="88" spans="1:26" x14ac:dyDescent="0.2">
      <c r="A88">
        <v>6.3</v>
      </c>
      <c r="B88">
        <v>2.9</v>
      </c>
      <c r="C88">
        <v>5.6</v>
      </c>
      <c r="D88">
        <v>1.8</v>
      </c>
      <c r="E88" s="3" t="s">
        <v>7</v>
      </c>
      <c r="J88" s="2">
        <f>POWER(J$4-A88,2)</f>
        <v>1.7292249999999965</v>
      </c>
      <c r="K88" s="2">
        <f>POWER(K$4-B88,2)</f>
        <v>0.2626562500000002</v>
      </c>
      <c r="L88" s="2">
        <f>POWER(L$4-C88,2)</f>
        <v>17.222500000000004</v>
      </c>
      <c r="M88" s="2">
        <f>POWER(M$4-D88,2)</f>
        <v>2.4025000000000007</v>
      </c>
      <c r="N88" s="7">
        <f t="shared" si="8"/>
        <v>4.6493957940790542</v>
      </c>
      <c r="O88" s="2">
        <f>POWER(O$4-A88,2)</f>
        <v>0.49561600000000089</v>
      </c>
      <c r="P88" s="2">
        <f>POWER(P$4-B88,2)</f>
        <v>5.9536000000000103E-2</v>
      </c>
      <c r="Q88" s="2">
        <f>POWER(Q$4-C88,2)</f>
        <v>2.5090559999999988</v>
      </c>
      <c r="R88" s="2">
        <f>POWER(R$4-D88,2)</f>
        <v>0.31360000000000005</v>
      </c>
      <c r="S88" s="7">
        <f t="shared" si="9"/>
        <v>1.8378813889911394</v>
      </c>
      <c r="T88" s="2">
        <f>POWER(T$4-A88,2)</f>
        <v>8.357355371900671E-2</v>
      </c>
      <c r="U88" s="2">
        <f>POWER(U$4-B88,2)</f>
        <v>4.0495867768596556E-3</v>
      </c>
      <c r="V88" s="2">
        <f>POWER(V$4-C88,2)</f>
        <v>7.6376859504131742E-2</v>
      </c>
      <c r="W88" s="2">
        <f>POWER(W$4-D88,2)</f>
        <v>4.0495867768594292E-3</v>
      </c>
      <c r="X88" s="7">
        <f t="shared" si="10"/>
        <v>0.40993851584945945</v>
      </c>
      <c r="Y88" s="9">
        <f t="shared" si="11"/>
        <v>0.40993851584945945</v>
      </c>
      <c r="Z88" t="str">
        <f>IF(Y88=N88,"C1",IF(Y88=S88,"C2",IF(Y88=X88,"C3")))</f>
        <v>C3</v>
      </c>
    </row>
    <row r="89" spans="1:26" x14ac:dyDescent="0.2">
      <c r="A89">
        <v>6.5</v>
      </c>
      <c r="B89">
        <v>3</v>
      </c>
      <c r="C89">
        <v>5.8</v>
      </c>
      <c r="D89">
        <v>2.2000000000000002</v>
      </c>
      <c r="E89" s="3" t="s">
        <v>7</v>
      </c>
      <c r="J89" s="2">
        <f>POWER(J$4-A89,2)</f>
        <v>2.2952249999999963</v>
      </c>
      <c r="K89" s="2">
        <f>POWER(K$4-B89,2)</f>
        <v>0.17015625000000006</v>
      </c>
      <c r="L89" s="2">
        <f>POWER(L$4-C89,2)</f>
        <v>18.922499999999996</v>
      </c>
      <c r="M89" s="2">
        <f>POWER(M$4-D89,2)</f>
        <v>3.8025000000000015</v>
      </c>
      <c r="N89" s="7">
        <f t="shared" si="8"/>
        <v>5.0190020173337242</v>
      </c>
      <c r="O89" s="2">
        <f>POWER(O$4-A89,2)</f>
        <v>0.8172160000000015</v>
      </c>
      <c r="P89" s="2">
        <f>POWER(P$4-B89,2)</f>
        <v>0.1183360000000002</v>
      </c>
      <c r="Q89" s="2">
        <f>POWER(Q$4-C89,2)</f>
        <v>3.1826559999999993</v>
      </c>
      <c r="R89" s="2">
        <f>POWER(R$4-D89,2)</f>
        <v>0.92160000000000031</v>
      </c>
      <c r="S89" s="7">
        <f t="shared" si="9"/>
        <v>2.2449516698583962</v>
      </c>
      <c r="T89" s="2">
        <f>POWER(T$4-A89,2)</f>
        <v>7.9371900826441175E-3</v>
      </c>
      <c r="U89" s="2">
        <f>POWER(U$4-B89,2)</f>
        <v>1.3223140495866969E-3</v>
      </c>
      <c r="V89" s="2">
        <f>POWER(V$4-C89,2)</f>
        <v>0.2269223140495861</v>
      </c>
      <c r="W89" s="2">
        <f>POWER(W$4-D89,2)</f>
        <v>0.11314049586776909</v>
      </c>
      <c r="X89" s="7">
        <f t="shared" si="10"/>
        <v>0.59103495163110786</v>
      </c>
      <c r="Y89" s="9">
        <f t="shared" si="11"/>
        <v>0.59103495163110786</v>
      </c>
      <c r="Z89" t="str">
        <f>IF(Y89=N89,"C1",IF(Y89=S89,"C2",IF(Y89=X89,"C3")))</f>
        <v>C3</v>
      </c>
    </row>
    <row r="90" spans="1:26" x14ac:dyDescent="0.2">
      <c r="A90">
        <v>7.6</v>
      </c>
      <c r="B90">
        <v>3</v>
      </c>
      <c r="C90">
        <v>6.6</v>
      </c>
      <c r="D90">
        <v>2.1</v>
      </c>
      <c r="E90" s="3" t="s">
        <v>7</v>
      </c>
      <c r="J90" s="2">
        <f>POWER(J$4-A90,2)</f>
        <v>6.8382249999999916</v>
      </c>
      <c r="K90" s="2">
        <f>POWER(K$4-B90,2)</f>
        <v>0.17015625000000006</v>
      </c>
      <c r="L90" s="2">
        <f>POWER(L$4-C90,2)</f>
        <v>26.522500000000004</v>
      </c>
      <c r="M90" s="2">
        <f>POWER(M$4-D90,2)</f>
        <v>3.4225000000000012</v>
      </c>
      <c r="N90" s="7">
        <f t="shared" si="8"/>
        <v>6.078929284832979</v>
      </c>
      <c r="O90" s="2">
        <f>POWER(O$4-A90,2)</f>
        <v>4.0160160000000014</v>
      </c>
      <c r="P90" s="2">
        <f>POWER(P$4-B90,2)</f>
        <v>0.1183360000000002</v>
      </c>
      <c r="Q90" s="2">
        <f>POWER(Q$4-C90,2)</f>
        <v>6.6770559999999977</v>
      </c>
      <c r="R90" s="2">
        <f>POWER(R$4-D90,2)</f>
        <v>0.73960000000000015</v>
      </c>
      <c r="S90" s="7">
        <f t="shared" si="9"/>
        <v>3.3986773898091593</v>
      </c>
      <c r="T90" s="2">
        <f>POWER(T$4-A90,2)</f>
        <v>1.0219371900826497</v>
      </c>
      <c r="U90" s="2">
        <f>POWER(U$4-B90,2)</f>
        <v>1.3223140495866969E-3</v>
      </c>
      <c r="V90" s="2">
        <f>POWER(V$4-C90,2)</f>
        <v>1.6291041322314026</v>
      </c>
      <c r="W90" s="2">
        <f>POWER(W$4-D90,2)</f>
        <v>5.5867768595041625E-2</v>
      </c>
      <c r="X90" s="7">
        <f t="shared" si="10"/>
        <v>1.645670503156291</v>
      </c>
      <c r="Y90" s="9">
        <f t="shared" si="11"/>
        <v>1.645670503156291</v>
      </c>
      <c r="Z90" t="str">
        <f>IF(Y90=N90,"C1",IF(Y90=S90,"C2",IF(Y90=X90,"C3")))</f>
        <v>C3</v>
      </c>
    </row>
    <row r="91" spans="1:26" x14ac:dyDescent="0.2">
      <c r="A91">
        <v>5</v>
      </c>
      <c r="B91">
        <v>3.4</v>
      </c>
      <c r="C91">
        <v>1.5</v>
      </c>
      <c r="D91">
        <v>0.2</v>
      </c>
      <c r="E91" s="3" t="s">
        <v>5</v>
      </c>
      <c r="J91" s="2">
        <f>POWER(J$4-A91,2)</f>
        <v>2.2499999999996375E-4</v>
      </c>
      <c r="K91" s="2">
        <f>POWER(K$4-B91,2)</f>
        <v>1.5625000000000445E-4</v>
      </c>
      <c r="L91" s="2">
        <f>POWER(L$4-C91,2)</f>
        <v>2.5000000000000265E-3</v>
      </c>
      <c r="M91" s="2">
        <f>POWER(M$4-D91,2)</f>
        <v>2.4999999999999823E-3</v>
      </c>
      <c r="N91" s="7">
        <f t="shared" si="8"/>
        <v>7.3357003755605887E-2</v>
      </c>
      <c r="O91" s="2">
        <f>POWER(O$4-A91,2)</f>
        <v>0.35521599999999903</v>
      </c>
      <c r="P91" s="2">
        <f>POWER(P$4-B91,2)</f>
        <v>0.55353600000000036</v>
      </c>
      <c r="Q91" s="2">
        <f>POWER(Q$4-C91,2)</f>
        <v>6.3302560000000003</v>
      </c>
      <c r="R91" s="2">
        <f>POWER(R$4-D91,2)</f>
        <v>1.0816000000000001</v>
      </c>
      <c r="S91" s="7">
        <f t="shared" si="9"/>
        <v>2.884546411483095</v>
      </c>
      <c r="T91" s="2">
        <f>POWER(T$4-A91,2)</f>
        <v>2.5252099173553626</v>
      </c>
      <c r="U91" s="2">
        <f>POWER(U$4-B91,2)</f>
        <v>0.19041322314049483</v>
      </c>
      <c r="V91" s="2">
        <f>POWER(V$4-C91,2)</f>
        <v>14.620195041322319</v>
      </c>
      <c r="W91" s="2">
        <f>POWER(W$4-D91,2)</f>
        <v>2.7676859504132216</v>
      </c>
      <c r="X91" s="7">
        <f t="shared" si="10"/>
        <v>4.4836931353775089</v>
      </c>
      <c r="Y91" s="9">
        <f t="shared" si="11"/>
        <v>7.3357003755605887E-2</v>
      </c>
      <c r="Z91" t="str">
        <f>IF(Y91=N91,"C1",IF(Y91=S91,"C2",IF(Y91=X91,"C3")))</f>
        <v>C1</v>
      </c>
    </row>
    <row r="92" spans="1:26" x14ac:dyDescent="0.2">
      <c r="A92">
        <v>4.4000000000000004</v>
      </c>
      <c r="B92">
        <v>2.9</v>
      </c>
      <c r="C92">
        <v>1.4</v>
      </c>
      <c r="D92">
        <v>0.2</v>
      </c>
      <c r="E92" s="3" t="s">
        <v>5</v>
      </c>
      <c r="J92" s="2">
        <f>POWER(J$4-A92,2)</f>
        <v>0.342225000000001</v>
      </c>
      <c r="K92" s="2">
        <f>POWER(K$4-B92,2)</f>
        <v>0.2626562500000002</v>
      </c>
      <c r="L92" s="2">
        <f>POWER(L$4-C92,2)</f>
        <v>2.4999999999999823E-3</v>
      </c>
      <c r="M92" s="2">
        <f>POWER(M$4-D92,2)</f>
        <v>2.4999999999999823E-3</v>
      </c>
      <c r="N92" s="7">
        <f t="shared" si="8"/>
        <v>0.78094894199300957</v>
      </c>
      <c r="O92" s="2">
        <f>POWER(O$4-A92,2)</f>
        <v>1.4304159999999972</v>
      </c>
      <c r="P92" s="2">
        <f>POWER(P$4-B92,2)</f>
        <v>5.9536000000000103E-2</v>
      </c>
      <c r="Q92" s="2">
        <f>POWER(Q$4-C92,2)</f>
        <v>6.8434560000000006</v>
      </c>
      <c r="R92" s="2">
        <f>POWER(R$4-D92,2)</f>
        <v>1.0816000000000001</v>
      </c>
      <c r="S92" s="7">
        <f t="shared" si="9"/>
        <v>3.0683885021294155</v>
      </c>
      <c r="T92" s="2">
        <f>POWER(T$4-A92,2)</f>
        <v>4.7921190082644483</v>
      </c>
      <c r="U92" s="2">
        <f>POWER(U$4-B92,2)</f>
        <v>4.0495867768596556E-3</v>
      </c>
      <c r="V92" s="2">
        <f>POWER(V$4-C92,2)</f>
        <v>15.394922314049591</v>
      </c>
      <c r="W92" s="2">
        <f>POWER(W$4-D92,2)</f>
        <v>2.7676859504132216</v>
      </c>
      <c r="X92" s="7">
        <f t="shared" si="10"/>
        <v>4.7915317863397417</v>
      </c>
      <c r="Y92" s="9">
        <f t="shared" si="11"/>
        <v>0.78094894199300957</v>
      </c>
      <c r="Z92" t="str">
        <f>IF(Y92=N92,"C1",IF(Y92=S92,"C2",IF(Y92=X92,"C3")))</f>
        <v>C1</v>
      </c>
    </row>
    <row r="93" spans="1:26" x14ac:dyDescent="0.2">
      <c r="A93">
        <v>4.9000000000000004</v>
      </c>
      <c r="B93">
        <v>3.1</v>
      </c>
      <c r="C93">
        <v>1.5</v>
      </c>
      <c r="D93">
        <v>0.1</v>
      </c>
      <c r="E93" s="3" t="s">
        <v>5</v>
      </c>
      <c r="J93" s="2">
        <f>POWER(J$4-A93,2)</f>
        <v>7.2250000000001454E-3</v>
      </c>
      <c r="K93" s="2">
        <f>POWER(K$4-B93,2)</f>
        <v>9.765625E-2</v>
      </c>
      <c r="L93" s="2">
        <f>POWER(L$4-C93,2)</f>
        <v>2.5000000000000265E-3</v>
      </c>
      <c r="M93" s="2">
        <f>POWER(M$4-D93,2)</f>
        <v>2.2499999999999947E-2</v>
      </c>
      <c r="N93" s="7">
        <f t="shared" si="8"/>
        <v>0.36039041330201904</v>
      </c>
      <c r="O93" s="2">
        <f>POWER(O$4-A93,2)</f>
        <v>0.4844159999999984</v>
      </c>
      <c r="P93" s="2">
        <f>POWER(P$4-B93,2)</f>
        <v>0.19713600000000034</v>
      </c>
      <c r="Q93" s="2">
        <f>POWER(Q$4-C93,2)</f>
        <v>6.3302560000000003</v>
      </c>
      <c r="R93" s="2">
        <f>POWER(R$4-D93,2)</f>
        <v>1.2995999999999999</v>
      </c>
      <c r="S93" s="7">
        <f t="shared" si="9"/>
        <v>2.882951265630413</v>
      </c>
      <c r="T93" s="2">
        <f>POWER(T$4-A93,2)</f>
        <v>2.8530280991735428</v>
      </c>
      <c r="U93" s="2">
        <f>POWER(U$4-B93,2)</f>
        <v>1.8595041322313776E-2</v>
      </c>
      <c r="V93" s="2">
        <f>POWER(V$4-C93,2)</f>
        <v>14.620195041322319</v>
      </c>
      <c r="W93" s="2">
        <f>POWER(W$4-D93,2)</f>
        <v>3.1104132231404935</v>
      </c>
      <c r="X93" s="7">
        <f t="shared" si="10"/>
        <v>4.5389680991342809</v>
      </c>
      <c r="Y93" s="9">
        <f t="shared" si="11"/>
        <v>0.36039041330201904</v>
      </c>
      <c r="Z93" t="str">
        <f>IF(Y93=N93,"C1",IF(Y93=S93,"C2",IF(Y93=X93,"C3")))</f>
        <v>C1</v>
      </c>
    </row>
    <row r="94" spans="1:26" x14ac:dyDescent="0.2">
      <c r="A94">
        <v>5.4</v>
      </c>
      <c r="B94">
        <v>3.7</v>
      </c>
      <c r="C94">
        <v>1.5</v>
      </c>
      <c r="D94">
        <v>0.2</v>
      </c>
      <c r="E94" s="3" t="s">
        <v>5</v>
      </c>
      <c r="J94" s="2">
        <f>POWER(J$4-A94,2)</f>
        <v>0.1722249999999993</v>
      </c>
      <c r="K94" s="2">
        <f>POWER(K$4-B94,2)</f>
        <v>8.2656250000000056E-2</v>
      </c>
      <c r="L94" s="2">
        <f>POWER(L$4-C94,2)</f>
        <v>2.5000000000000265E-3</v>
      </c>
      <c r="M94" s="2">
        <f>POWER(M$4-D94,2)</f>
        <v>2.4999999999999823E-3</v>
      </c>
      <c r="N94" s="7">
        <f t="shared" si="8"/>
        <v>0.50978549410511809</v>
      </c>
      <c r="O94" s="2">
        <f>POWER(O$4-A94,2)</f>
        <v>3.8415999999999548E-2</v>
      </c>
      <c r="P94" s="2">
        <f>POWER(P$4-B94,2)</f>
        <v>1.0899360000000009</v>
      </c>
      <c r="Q94" s="2">
        <f>POWER(Q$4-C94,2)</f>
        <v>6.3302560000000003</v>
      </c>
      <c r="R94" s="2">
        <f>POWER(R$4-D94,2)</f>
        <v>1.0816000000000001</v>
      </c>
      <c r="S94" s="7">
        <f t="shared" si="9"/>
        <v>2.9223634270911623</v>
      </c>
      <c r="T94" s="2">
        <f>POWER(T$4-A94,2)</f>
        <v>1.413937190082637</v>
      </c>
      <c r="U94" s="2">
        <f>POWER(U$4-B94,2)</f>
        <v>0.54223140495867628</v>
      </c>
      <c r="V94" s="2">
        <f>POWER(V$4-C94,2)</f>
        <v>14.620195041322319</v>
      </c>
      <c r="W94" s="2">
        <f>POWER(W$4-D94,2)</f>
        <v>2.7676859504132216</v>
      </c>
      <c r="X94" s="7">
        <f t="shared" si="10"/>
        <v>4.3981870795563998</v>
      </c>
      <c r="Y94" s="9">
        <f t="shared" si="11"/>
        <v>0.50978549410511809</v>
      </c>
      <c r="Z94" t="str">
        <f>IF(Y94=N94,"C1",IF(Y94=S94,"C2",IF(Y94=X94,"C3")))</f>
        <v>C1</v>
      </c>
    </row>
    <row r="95" spans="1:26" x14ac:dyDescent="0.2">
      <c r="A95">
        <v>4.8</v>
      </c>
      <c r="B95">
        <v>3.4</v>
      </c>
      <c r="C95">
        <v>1.6</v>
      </c>
      <c r="D95">
        <v>0.2</v>
      </c>
      <c r="E95" s="3" t="s">
        <v>5</v>
      </c>
      <c r="J95" s="2">
        <f>POWER(J$4-A95,2)</f>
        <v>3.4225000000000512E-2</v>
      </c>
      <c r="K95" s="2">
        <f>POWER(K$4-B95,2)</f>
        <v>1.5625000000000445E-4</v>
      </c>
      <c r="L95" s="2">
        <f>POWER(L$4-C95,2)</f>
        <v>2.2500000000000107E-2</v>
      </c>
      <c r="M95" s="2">
        <f>POWER(M$4-D95,2)</f>
        <v>2.4999999999999823E-3</v>
      </c>
      <c r="N95" s="7">
        <f t="shared" si="8"/>
        <v>0.24368268301215126</v>
      </c>
      <c r="O95" s="2">
        <f>POWER(O$4-A95,2)</f>
        <v>0.63361599999999896</v>
      </c>
      <c r="P95" s="2">
        <f>POWER(P$4-B95,2)</f>
        <v>0.55353600000000036</v>
      </c>
      <c r="Q95" s="2">
        <f>POWER(Q$4-C95,2)</f>
        <v>5.8370559999999996</v>
      </c>
      <c r="R95" s="2">
        <f>POWER(R$4-D95,2)</f>
        <v>1.0816000000000001</v>
      </c>
      <c r="S95" s="7">
        <f t="shared" si="9"/>
        <v>2.8470700728995064</v>
      </c>
      <c r="T95" s="2">
        <f>POWER(T$4-A95,2)</f>
        <v>3.2008462809917257</v>
      </c>
      <c r="U95" s="2">
        <f>POWER(U$4-B95,2)</f>
        <v>0.19041322314049483</v>
      </c>
      <c r="V95" s="2">
        <f>POWER(V$4-C95,2)</f>
        <v>13.865467768595044</v>
      </c>
      <c r="W95" s="2">
        <f>POWER(W$4-D95,2)</f>
        <v>2.7676859504132216</v>
      </c>
      <c r="X95" s="7">
        <f t="shared" si="10"/>
        <v>4.4748646038892046</v>
      </c>
      <c r="Y95" s="9">
        <f t="shared" si="11"/>
        <v>0.24368268301215126</v>
      </c>
      <c r="Z95" t="str">
        <f>IF(Y95=N95,"C1",IF(Y95=S95,"C2",IF(Y95=X95,"C3")))</f>
        <v>C1</v>
      </c>
    </row>
    <row r="96" spans="1:26" x14ac:dyDescent="0.2">
      <c r="A96">
        <v>4.8</v>
      </c>
      <c r="B96">
        <v>3</v>
      </c>
      <c r="C96">
        <v>1.4</v>
      </c>
      <c r="D96">
        <v>0.1</v>
      </c>
      <c r="E96" s="3" t="s">
        <v>5</v>
      </c>
      <c r="J96" s="2">
        <f>POWER(J$4-A96,2)</f>
        <v>3.4225000000000512E-2</v>
      </c>
      <c r="K96" s="2">
        <f>POWER(K$4-B96,2)</f>
        <v>0.17015625000000006</v>
      </c>
      <c r="L96" s="2">
        <f>POWER(L$4-C96,2)</f>
        <v>2.4999999999999823E-3</v>
      </c>
      <c r="M96" s="2">
        <f>POWER(M$4-D96,2)</f>
        <v>2.2499999999999947E-2</v>
      </c>
      <c r="N96" s="7">
        <f t="shared" si="8"/>
        <v>0.47893762641914078</v>
      </c>
      <c r="O96" s="2">
        <f>POWER(O$4-A96,2)</f>
        <v>0.63361599999999896</v>
      </c>
      <c r="P96" s="2">
        <f>POWER(P$4-B96,2)</f>
        <v>0.1183360000000002</v>
      </c>
      <c r="Q96" s="2">
        <f>POWER(Q$4-C96,2)</f>
        <v>6.8434560000000006</v>
      </c>
      <c r="R96" s="2">
        <f>POWER(R$4-D96,2)</f>
        <v>1.2995999999999999</v>
      </c>
      <c r="S96" s="7">
        <f t="shared" si="9"/>
        <v>2.9824499995808815</v>
      </c>
      <c r="T96" s="2">
        <f>POWER(T$4-A96,2)</f>
        <v>3.2008462809917257</v>
      </c>
      <c r="U96" s="2">
        <f>POWER(U$4-B96,2)</f>
        <v>1.3223140495866969E-3</v>
      </c>
      <c r="V96" s="2">
        <f>POWER(V$4-C96,2)</f>
        <v>15.394922314049591</v>
      </c>
      <c r="W96" s="2">
        <f>POWER(W$4-D96,2)</f>
        <v>3.1104132231404935</v>
      </c>
      <c r="X96" s="7">
        <f t="shared" si="10"/>
        <v>4.6591312636833271</v>
      </c>
      <c r="Y96" s="9">
        <f t="shared" si="11"/>
        <v>0.47893762641914078</v>
      </c>
      <c r="Z96" t="str">
        <f>IF(Y96=N96,"C1",IF(Y96=S96,"C2",IF(Y96=X96,"C3")))</f>
        <v>C1</v>
      </c>
    </row>
    <row r="97" spans="1:26" x14ac:dyDescent="0.2">
      <c r="A97">
        <v>4.3</v>
      </c>
      <c r="B97">
        <v>3</v>
      </c>
      <c r="C97">
        <v>1.1000000000000001</v>
      </c>
      <c r="D97">
        <v>0.1</v>
      </c>
      <c r="E97" s="3" t="s">
        <v>5</v>
      </c>
      <c r="J97" s="2">
        <f>POWER(J$4-A97,2)</f>
        <v>0.46922500000000189</v>
      </c>
      <c r="K97" s="2">
        <f>POWER(K$4-B97,2)</f>
        <v>0.17015625000000006</v>
      </c>
      <c r="L97" s="2">
        <f>POWER(L$4-C97,2)</f>
        <v>0.12249999999999975</v>
      </c>
      <c r="M97" s="2">
        <f>POWER(M$4-D97,2)</f>
        <v>2.2499999999999947E-2</v>
      </c>
      <c r="N97" s="7">
        <f t="shared" si="8"/>
        <v>0.88565300767287058</v>
      </c>
      <c r="O97" s="2">
        <f>POWER(O$4-A97,2)</f>
        <v>1.6796159999999984</v>
      </c>
      <c r="P97" s="2">
        <f>POWER(P$4-B97,2)</f>
        <v>0.1183360000000002</v>
      </c>
      <c r="Q97" s="2">
        <f>POWER(Q$4-C97,2)</f>
        <v>8.5030559999999991</v>
      </c>
      <c r="R97" s="2">
        <f>POWER(R$4-D97,2)</f>
        <v>1.2995999999999999</v>
      </c>
      <c r="S97" s="7">
        <f t="shared" si="9"/>
        <v>3.405966529489096</v>
      </c>
      <c r="T97" s="2">
        <f>POWER(T$4-A97,2)</f>
        <v>5.2399371900826326</v>
      </c>
      <c r="U97" s="2">
        <f>POWER(U$4-B97,2)</f>
        <v>1.3223140495866969E-3</v>
      </c>
      <c r="V97" s="2">
        <f>POWER(V$4-C97,2)</f>
        <v>17.839104132231412</v>
      </c>
      <c r="W97" s="2">
        <f>POWER(W$4-D97,2)</f>
        <v>3.1104132231404935</v>
      </c>
      <c r="X97" s="7">
        <f t="shared" si="10"/>
        <v>5.1176925327245018</v>
      </c>
      <c r="Y97" s="9">
        <f t="shared" si="11"/>
        <v>0.88565300767287058</v>
      </c>
      <c r="Z97" t="str">
        <f>IF(Y97=N97,"C1",IF(Y97=S97,"C2",IF(Y97=X97,"C3")))</f>
        <v>C1</v>
      </c>
    </row>
    <row r="98" spans="1:26" x14ac:dyDescent="0.2">
      <c r="A98">
        <v>5.7</v>
      </c>
      <c r="B98">
        <v>2.5</v>
      </c>
      <c r="C98">
        <v>5</v>
      </c>
      <c r="D98">
        <v>2</v>
      </c>
      <c r="E98" s="3" t="s">
        <v>7</v>
      </c>
      <c r="J98" s="2">
        <f>POWER(J$4-A98,2)</f>
        <v>0.51122499999999849</v>
      </c>
      <c r="K98" s="2">
        <f>POWER(K$4-B98,2)</f>
        <v>0.83265625000000021</v>
      </c>
      <c r="L98" s="2">
        <f>POWER(L$4-C98,2)</f>
        <v>12.602500000000003</v>
      </c>
      <c r="M98" s="2">
        <f>POWER(M$4-D98,2)</f>
        <v>3.0625000000000009</v>
      </c>
      <c r="N98" s="7">
        <f t="shared" si="8"/>
        <v>4.124182494749717</v>
      </c>
      <c r="O98" s="2">
        <f>POWER(O$4-A98,2)</f>
        <v>1.0816000000000204E-2</v>
      </c>
      <c r="P98" s="2">
        <f>POWER(P$4-B98,2)</f>
        <v>2.4335999999999906E-2</v>
      </c>
      <c r="Q98" s="2">
        <f>POWER(Q$4-C98,2)</f>
        <v>0.96825600000000001</v>
      </c>
      <c r="R98" s="2">
        <f>POWER(R$4-D98,2)</f>
        <v>0.5776</v>
      </c>
      <c r="S98" s="7">
        <f t="shared" si="9"/>
        <v>1.2573814059385482</v>
      </c>
      <c r="T98" s="2">
        <f>POWER(T$4-A98,2)</f>
        <v>0.79048264462809381</v>
      </c>
      <c r="U98" s="2">
        <f>POWER(U$4-B98,2)</f>
        <v>0.21495867768595142</v>
      </c>
      <c r="V98" s="2">
        <f>POWER(V$4-C98,2)</f>
        <v>0.10474049586776894</v>
      </c>
      <c r="W98" s="2">
        <f>POWER(W$4-D98,2)</f>
        <v>1.8595041322314199E-2</v>
      </c>
      <c r="X98" s="7">
        <f t="shared" si="10"/>
        <v>1.0624391086100551</v>
      </c>
      <c r="Y98" s="9">
        <f t="shared" si="11"/>
        <v>1.0624391086100551</v>
      </c>
      <c r="Z98" t="str">
        <f>IF(Y98=N98,"C1",IF(Y98=S98,"C2",IF(Y98=X98,"C3")))</f>
        <v>C3</v>
      </c>
    </row>
    <row r="99" spans="1:26" x14ac:dyDescent="0.2">
      <c r="A99">
        <v>5.8</v>
      </c>
      <c r="B99">
        <v>2.8</v>
      </c>
      <c r="C99">
        <v>5.0999999999999996</v>
      </c>
      <c r="D99">
        <v>2.4</v>
      </c>
      <c r="E99" s="3" t="s">
        <v>7</v>
      </c>
      <c r="J99" s="2">
        <f>POWER(J$4-A99,2)</f>
        <v>0.66422499999999773</v>
      </c>
      <c r="K99" s="2">
        <f>POWER(K$4-B99,2)</f>
        <v>0.3751562500000003</v>
      </c>
      <c r="L99" s="2">
        <f>POWER(L$4-C99,2)</f>
        <v>13.3225</v>
      </c>
      <c r="M99" s="2">
        <f>POWER(M$4-D99,2)</f>
        <v>4.6224999999999996</v>
      </c>
      <c r="N99" s="7">
        <f t="shared" si="8"/>
        <v>4.3571069817024233</v>
      </c>
      <c r="O99" s="2">
        <f>POWER(O$4-A99,2)</f>
        <v>4.1616000000000257E-2</v>
      </c>
      <c r="P99" s="2">
        <f>POWER(P$4-B99,2)</f>
        <v>2.0736000000000036E-2</v>
      </c>
      <c r="Q99" s="2">
        <f>POWER(Q$4-C99,2)</f>
        <v>1.1750559999999992</v>
      </c>
      <c r="R99" s="2">
        <f>POWER(R$4-D99,2)</f>
        <v>1.3455999999999999</v>
      </c>
      <c r="S99" s="7">
        <f t="shared" si="9"/>
        <v>1.6071739171601807</v>
      </c>
      <c r="T99" s="2">
        <f>POWER(T$4-A99,2)</f>
        <v>0.62266446280991306</v>
      </c>
      <c r="U99" s="2">
        <f>POWER(U$4-B99,2)</f>
        <v>2.6776859504132649E-2</v>
      </c>
      <c r="V99" s="2">
        <f>POWER(V$4-C99,2)</f>
        <v>5.0013223140496263E-2</v>
      </c>
      <c r="W99" s="2">
        <f>POWER(W$4-D99,2)</f>
        <v>0.28768595041322365</v>
      </c>
      <c r="X99" s="7">
        <f t="shared" si="10"/>
        <v>0.99354944309166904</v>
      </c>
      <c r="Y99" s="9">
        <f t="shared" si="11"/>
        <v>0.99354944309166904</v>
      </c>
      <c r="Z99" t="str">
        <f>IF(Y99=N99,"C1",IF(Y99=S99,"C2",IF(Y99=X99,"C3")))</f>
        <v>C3</v>
      </c>
    </row>
    <row r="100" spans="1:26" x14ac:dyDescent="0.2">
      <c r="A100">
        <v>6.4</v>
      </c>
      <c r="B100">
        <v>3.2</v>
      </c>
      <c r="C100">
        <v>5.3</v>
      </c>
      <c r="D100">
        <v>2.2999999999999998</v>
      </c>
      <c r="E100" s="3" t="s">
        <v>7</v>
      </c>
      <c r="J100" s="2">
        <f>POWER(J$4-A100,2)</f>
        <v>2.0022249999999975</v>
      </c>
      <c r="K100" s="2">
        <f>POWER(K$4-B100,2)</f>
        <v>4.515624999999996E-2</v>
      </c>
      <c r="L100" s="2">
        <f>POWER(L$4-C100,2)</f>
        <v>14.822500000000002</v>
      </c>
      <c r="M100" s="2">
        <f>POWER(M$4-D100,2)</f>
        <v>4.2024999999999997</v>
      </c>
      <c r="N100" s="7">
        <f t="shared" si="8"/>
        <v>4.5904663434121806</v>
      </c>
      <c r="O100" s="2">
        <f>POWER(O$4-A100,2)</f>
        <v>0.64641600000000188</v>
      </c>
      <c r="P100" s="2">
        <f>POWER(P$4-B100,2)</f>
        <v>0.29593600000000053</v>
      </c>
      <c r="Q100" s="2">
        <f>POWER(Q$4-C100,2)</f>
        <v>1.6486559999999995</v>
      </c>
      <c r="R100" s="2">
        <f>POWER(R$4-D100,2)</f>
        <v>1.1235999999999997</v>
      </c>
      <c r="S100" s="7">
        <f t="shared" si="9"/>
        <v>1.9273318344281043</v>
      </c>
      <c r="T100" s="2">
        <f>POWER(T$4-A100,2)</f>
        <v>3.5755371900825228E-2</v>
      </c>
      <c r="U100" s="2">
        <f>POWER(U$4-B100,2)</f>
        <v>5.586776859504089E-2</v>
      </c>
      <c r="V100" s="2">
        <f>POWER(V$4-C100,2)</f>
        <v>5.5867768595044666E-4</v>
      </c>
      <c r="W100" s="2">
        <f>POWER(W$4-D100,2)</f>
        <v>0.19041322314049619</v>
      </c>
      <c r="X100" s="7">
        <f t="shared" si="10"/>
        <v>0.53159669047343849</v>
      </c>
      <c r="Y100" s="9">
        <f t="shared" si="11"/>
        <v>0.53159669047343849</v>
      </c>
      <c r="Z100" t="str">
        <f>IF(Y100=N100,"C1",IF(Y100=S100,"C2",IF(Y100=X100,"C3")))</f>
        <v>C3</v>
      </c>
    </row>
    <row r="101" spans="1:26" x14ac:dyDescent="0.2">
      <c r="A101">
        <v>6.5</v>
      </c>
      <c r="B101">
        <v>3</v>
      </c>
      <c r="C101">
        <v>5.5</v>
      </c>
      <c r="D101">
        <v>1.8</v>
      </c>
      <c r="E101" s="3" t="s">
        <v>7</v>
      </c>
      <c r="J101" s="2">
        <f>POWER(J$4-A101,2)</f>
        <v>2.2952249999999963</v>
      </c>
      <c r="K101" s="2">
        <f>POWER(K$4-B101,2)</f>
        <v>0.17015625000000006</v>
      </c>
      <c r="L101" s="2">
        <f>POWER(L$4-C101,2)</f>
        <v>16.402500000000007</v>
      </c>
      <c r="M101" s="2">
        <f>POWER(M$4-D101,2)</f>
        <v>2.4025000000000007</v>
      </c>
      <c r="N101" s="7">
        <f t="shared" si="8"/>
        <v>4.6119823557771777</v>
      </c>
      <c r="O101" s="2">
        <f>POWER(O$4-A101,2)</f>
        <v>0.8172160000000015</v>
      </c>
      <c r="P101" s="2">
        <f>POWER(P$4-B101,2)</f>
        <v>0.1183360000000002</v>
      </c>
      <c r="Q101" s="2">
        <f>POWER(Q$4-C101,2)</f>
        <v>2.2022559999999998</v>
      </c>
      <c r="R101" s="2">
        <f>POWER(R$4-D101,2)</f>
        <v>0.31360000000000005</v>
      </c>
      <c r="S101" s="7">
        <f t="shared" si="9"/>
        <v>1.8577965442964959</v>
      </c>
      <c r="T101" s="2">
        <f>POWER(T$4-A101,2)</f>
        <v>7.9371900826441175E-3</v>
      </c>
      <c r="U101" s="2">
        <f>POWER(U$4-B101,2)</f>
        <v>1.3223140495866969E-3</v>
      </c>
      <c r="V101" s="2">
        <f>POWER(V$4-C101,2)</f>
        <v>3.1104132231404773E-2</v>
      </c>
      <c r="W101" s="2">
        <f>POWER(W$4-D101,2)</f>
        <v>4.0495867768594292E-3</v>
      </c>
      <c r="X101" s="7">
        <f t="shared" si="10"/>
        <v>0.21074444984505528</v>
      </c>
      <c r="Y101" s="9">
        <f t="shared" si="11"/>
        <v>0.21074444984505528</v>
      </c>
      <c r="Z101" t="str">
        <f>IF(Y101=N101,"C1",IF(Y101=S101,"C2",IF(Y101=X101,"C3")))</f>
        <v>C3</v>
      </c>
    </row>
    <row r="102" spans="1:26" x14ac:dyDescent="0.2">
      <c r="A102">
        <v>7.7</v>
      </c>
      <c r="B102">
        <v>3.8</v>
      </c>
      <c r="C102">
        <v>6.7</v>
      </c>
      <c r="D102">
        <v>2.2000000000000002</v>
      </c>
      <c r="E102" s="3" t="s">
        <v>7</v>
      </c>
      <c r="J102" s="2">
        <f>POWER(J$4-A102,2)</f>
        <v>7.3712249999999946</v>
      </c>
      <c r="K102" s="2">
        <f>POWER(K$4-B102,2)</f>
        <v>0.1501562499999998</v>
      </c>
      <c r="L102" s="2">
        <f>POWER(L$4-C102,2)</f>
        <v>27.5625</v>
      </c>
      <c r="M102" s="2">
        <f>POWER(M$4-D102,2)</f>
        <v>3.8025000000000015</v>
      </c>
      <c r="N102" s="7">
        <f t="shared" si="8"/>
        <v>6.2358945829768482</v>
      </c>
      <c r="O102" s="2">
        <f>POWER(O$4-A102,2)</f>
        <v>4.4268160000000041</v>
      </c>
      <c r="P102" s="2">
        <f>POWER(P$4-B102,2)</f>
        <v>1.3087360000000003</v>
      </c>
      <c r="Q102" s="2">
        <f>POWER(Q$4-C102,2)</f>
        <v>7.2038560000000009</v>
      </c>
      <c r="R102" s="2">
        <f>POWER(R$4-D102,2)</f>
        <v>0.92160000000000031</v>
      </c>
      <c r="S102" s="7">
        <f t="shared" si="9"/>
        <v>3.7230374695938804</v>
      </c>
      <c r="T102" s="2">
        <f>POWER(T$4-A102,2)</f>
        <v>1.2341190082644695</v>
      </c>
      <c r="U102" s="2">
        <f>POWER(U$4-B102,2)</f>
        <v>0.69950413223140284</v>
      </c>
      <c r="V102" s="2">
        <f>POWER(V$4-C102,2)</f>
        <v>1.8943768595041313</v>
      </c>
      <c r="W102" s="2">
        <f>POWER(W$4-D102,2)</f>
        <v>0.11314049586776909</v>
      </c>
      <c r="X102" s="7">
        <f t="shared" si="10"/>
        <v>1.9852305900997427</v>
      </c>
      <c r="Y102" s="9">
        <f t="shared" si="11"/>
        <v>1.9852305900997427</v>
      </c>
      <c r="Z102" t="str">
        <f>IF(Y102=N102,"C1",IF(Y102=S102,"C2",IF(Y102=X102,"C3")))</f>
        <v>C3</v>
      </c>
    </row>
    <row r="103" spans="1:26" x14ac:dyDescent="0.2">
      <c r="A103">
        <v>7.7</v>
      </c>
      <c r="B103">
        <v>2.6</v>
      </c>
      <c r="C103">
        <v>6.9</v>
      </c>
      <c r="D103">
        <v>2.2999999999999998</v>
      </c>
      <c r="E103" s="3" t="s">
        <v>7</v>
      </c>
      <c r="J103" s="2">
        <f>POWER(J$4-A103,2)</f>
        <v>7.3712249999999946</v>
      </c>
      <c r="K103" s="2">
        <f>POWER(K$4-B103,2)</f>
        <v>0.66015625</v>
      </c>
      <c r="L103" s="2">
        <f>POWER(L$4-C103,2)</f>
        <v>29.702500000000011</v>
      </c>
      <c r="M103" s="2">
        <f>POWER(M$4-D103,2)</f>
        <v>4.2024999999999997</v>
      </c>
      <c r="N103" s="7">
        <f t="shared" si="8"/>
        <v>6.4758305451887797</v>
      </c>
      <c r="O103" s="2">
        <f>POWER(O$4-A103,2)</f>
        <v>4.4268160000000041</v>
      </c>
      <c r="P103" s="2">
        <f>POWER(P$4-B103,2)</f>
        <v>3.1359999999999557E-3</v>
      </c>
      <c r="Q103" s="2">
        <f>POWER(Q$4-C103,2)</f>
        <v>8.3174560000000017</v>
      </c>
      <c r="R103" s="2">
        <f>POWER(R$4-D103,2)</f>
        <v>1.1235999999999997</v>
      </c>
      <c r="S103" s="7">
        <f t="shared" si="9"/>
        <v>3.7243802168951556</v>
      </c>
      <c r="T103" s="2">
        <f>POWER(T$4-A103,2)</f>
        <v>1.2341190082644695</v>
      </c>
      <c r="U103" s="2">
        <f>POWER(U$4-B103,2)</f>
        <v>0.13223140495867841</v>
      </c>
      <c r="V103" s="2">
        <f>POWER(V$4-C103,2)</f>
        <v>2.4849223140495864</v>
      </c>
      <c r="W103" s="2">
        <f>POWER(W$4-D103,2)</f>
        <v>0.19041322314049619</v>
      </c>
      <c r="X103" s="7">
        <f t="shared" si="10"/>
        <v>2.010394476318822</v>
      </c>
      <c r="Y103" s="9">
        <f t="shared" si="11"/>
        <v>2.010394476318822</v>
      </c>
      <c r="Z103" t="str">
        <f>IF(Y103=N103,"C1",IF(Y103=S103,"C2",IF(Y103=X103,"C3")))</f>
        <v>C3</v>
      </c>
    </row>
    <row r="104" spans="1:26" x14ac:dyDescent="0.2">
      <c r="A104">
        <v>6</v>
      </c>
      <c r="B104">
        <v>2.2000000000000002</v>
      </c>
      <c r="C104">
        <v>5</v>
      </c>
      <c r="D104">
        <v>1.5</v>
      </c>
      <c r="E104" s="3" t="s">
        <v>7</v>
      </c>
      <c r="J104" s="2">
        <f>POWER(J$4-A104,2)</f>
        <v>1.0302249999999975</v>
      </c>
      <c r="K104" s="2">
        <f>POWER(K$4-B104,2)</f>
        <v>1.4701562499999998</v>
      </c>
      <c r="L104" s="2">
        <f>POWER(L$4-C104,2)</f>
        <v>12.602500000000003</v>
      </c>
      <c r="M104" s="2">
        <f>POWER(M$4-D104,2)</f>
        <v>1.5625000000000007</v>
      </c>
      <c r="N104" s="7">
        <f t="shared" si="8"/>
        <v>4.0823254708560412</v>
      </c>
      <c r="O104" s="2">
        <f>POWER(O$4-A104,2)</f>
        <v>0.16321600000000064</v>
      </c>
      <c r="P104" s="2">
        <f>POWER(P$4-B104,2)</f>
        <v>0.20793599999999957</v>
      </c>
      <c r="Q104" s="2">
        <f>POWER(Q$4-C104,2)</f>
        <v>0.96825600000000001</v>
      </c>
      <c r="R104" s="2">
        <f>POWER(R$4-D104,2)</f>
        <v>6.7600000000000007E-2</v>
      </c>
      <c r="S104" s="7">
        <f t="shared" si="9"/>
        <v>1.1861736803689418</v>
      </c>
      <c r="T104" s="2">
        <f>POWER(T$4-A104,2)</f>
        <v>0.34702809917355032</v>
      </c>
      <c r="U104" s="2">
        <f>POWER(U$4-B104,2)</f>
        <v>0.58314049586776995</v>
      </c>
      <c r="V104" s="2">
        <f>POWER(V$4-C104,2)</f>
        <v>0.10474049586776894</v>
      </c>
      <c r="W104" s="2">
        <f>POWER(W$4-D104,2)</f>
        <v>0.1322314049586773</v>
      </c>
      <c r="X104" s="7">
        <f t="shared" si="10"/>
        <v>1.0803427677676036</v>
      </c>
      <c r="Y104" s="9">
        <f t="shared" si="11"/>
        <v>1.0803427677676036</v>
      </c>
      <c r="Z104" t="str">
        <f>IF(Y104=N104,"C1",IF(Y104=S104,"C2",IF(Y104=X104,"C3")))</f>
        <v>C3</v>
      </c>
    </row>
    <row r="105" spans="1:26" x14ac:dyDescent="0.2">
      <c r="A105">
        <v>6.9</v>
      </c>
      <c r="B105">
        <v>3.2</v>
      </c>
      <c r="C105">
        <v>5.7</v>
      </c>
      <c r="D105">
        <v>2.2999999999999998</v>
      </c>
      <c r="E105" s="3" t="s">
        <v>7</v>
      </c>
      <c r="J105" s="2">
        <f>POWER(J$4-A105,2)</f>
        <v>3.6672249999999966</v>
      </c>
      <c r="K105" s="2">
        <f>POWER(K$4-B105,2)</f>
        <v>4.515624999999996E-2</v>
      </c>
      <c r="L105" s="2">
        <f>POWER(L$4-C105,2)</f>
        <v>18.0625</v>
      </c>
      <c r="M105" s="2">
        <f>POWER(M$4-D105,2)</f>
        <v>4.2024999999999997</v>
      </c>
      <c r="N105" s="7">
        <f t="shared" si="8"/>
        <v>5.0968010800893531</v>
      </c>
      <c r="O105" s="2">
        <f>POWER(O$4-A105,2)</f>
        <v>1.700416000000003</v>
      </c>
      <c r="P105" s="2">
        <f>POWER(P$4-B105,2)</f>
        <v>0.29593600000000053</v>
      </c>
      <c r="Q105" s="2">
        <f>POWER(Q$4-C105,2)</f>
        <v>2.8358560000000006</v>
      </c>
      <c r="R105" s="2">
        <f>POWER(R$4-D105,2)</f>
        <v>1.1235999999999997</v>
      </c>
      <c r="S105" s="7">
        <f t="shared" si="9"/>
        <v>2.4404524170735238</v>
      </c>
      <c r="T105" s="2">
        <f>POWER(T$4-A105,2)</f>
        <v>9.666446280991936E-2</v>
      </c>
      <c r="U105" s="2">
        <f>POWER(U$4-B105,2)</f>
        <v>5.586776859504089E-2</v>
      </c>
      <c r="V105" s="2">
        <f>POWER(V$4-C105,2)</f>
        <v>0.14164958677685924</v>
      </c>
      <c r="W105" s="2">
        <f>POWER(W$4-D105,2)</f>
        <v>0.19041322314049619</v>
      </c>
      <c r="X105" s="7">
        <f t="shared" si="10"/>
        <v>0.69612860975707336</v>
      </c>
      <c r="Y105" s="9">
        <f t="shared" si="11"/>
        <v>0.69612860975707336</v>
      </c>
      <c r="Z105" t="str">
        <f>IF(Y105=N105,"C1",IF(Y105=S105,"C2",IF(Y105=X105,"C3")))</f>
        <v>C3</v>
      </c>
    </row>
    <row r="106" spans="1:26" x14ac:dyDescent="0.2">
      <c r="A106">
        <v>5.6</v>
      </c>
      <c r="B106">
        <v>2.8</v>
      </c>
      <c r="C106">
        <v>4.9000000000000004</v>
      </c>
      <c r="D106">
        <v>2</v>
      </c>
      <c r="E106" s="3" t="s">
        <v>7</v>
      </c>
      <c r="J106" s="2">
        <f>POWER(J$4-A106,2)</f>
        <v>0.37822499999999809</v>
      </c>
      <c r="K106" s="2">
        <f>POWER(K$4-B106,2)</f>
        <v>0.3751562500000003</v>
      </c>
      <c r="L106" s="2">
        <f>POWER(L$4-C106,2)</f>
        <v>11.902500000000003</v>
      </c>
      <c r="M106" s="2">
        <f>POWER(M$4-D106,2)</f>
        <v>3.0625000000000009</v>
      </c>
      <c r="N106" s="7">
        <f t="shared" si="8"/>
        <v>3.9646413772244271</v>
      </c>
      <c r="O106" s="2">
        <f>POWER(O$4-A106,2)</f>
        <v>1.6000000000003581E-5</v>
      </c>
      <c r="P106" s="2">
        <f>POWER(P$4-B106,2)</f>
        <v>2.0736000000000036E-2</v>
      </c>
      <c r="Q106" s="2">
        <f>POWER(Q$4-C106,2)</f>
        <v>0.78145600000000059</v>
      </c>
      <c r="R106" s="2">
        <f>POWER(R$4-D106,2)</f>
        <v>0.5776</v>
      </c>
      <c r="S106" s="7">
        <f t="shared" si="9"/>
        <v>1.1746522889774662</v>
      </c>
      <c r="T106" s="2">
        <f>POWER(T$4-A106,2)</f>
        <v>0.97830082644627603</v>
      </c>
      <c r="U106" s="2">
        <f>POWER(U$4-B106,2)</f>
        <v>2.6776859504132649E-2</v>
      </c>
      <c r="V106" s="2">
        <f>POWER(V$4-C106,2)</f>
        <v>0.17946776859504146</v>
      </c>
      <c r="W106" s="2">
        <f>POWER(W$4-D106,2)</f>
        <v>1.8595041322314199E-2</v>
      </c>
      <c r="X106" s="7">
        <f t="shared" si="10"/>
        <v>1.0968776120733637</v>
      </c>
      <c r="Y106" s="9">
        <f t="shared" si="11"/>
        <v>1.0968776120733637</v>
      </c>
      <c r="Z106" t="str">
        <f>IF(Y106=N106,"C1",IF(Y106=S106,"C2",IF(Y106=X106,"C3")))</f>
        <v>C3</v>
      </c>
    </row>
    <row r="107" spans="1:26" x14ac:dyDescent="0.2">
      <c r="A107">
        <v>7.7</v>
      </c>
      <c r="B107">
        <v>2.8</v>
      </c>
      <c r="C107">
        <v>6.7</v>
      </c>
      <c r="D107">
        <v>2</v>
      </c>
      <c r="E107" s="3" t="s">
        <v>7</v>
      </c>
      <c r="J107" s="2">
        <f>POWER(J$4-A107,2)</f>
        <v>7.3712249999999946</v>
      </c>
      <c r="K107" s="2">
        <f>POWER(K$4-B107,2)</f>
        <v>0.3751562500000003</v>
      </c>
      <c r="L107" s="2">
        <f>POWER(L$4-C107,2)</f>
        <v>27.5625</v>
      </c>
      <c r="M107" s="2">
        <f>POWER(M$4-D107,2)</f>
        <v>3.0625000000000009</v>
      </c>
      <c r="N107" s="7">
        <f t="shared" si="8"/>
        <v>6.1944637580665525</v>
      </c>
      <c r="O107" s="2">
        <f>POWER(O$4-A107,2)</f>
        <v>4.4268160000000041</v>
      </c>
      <c r="P107" s="2">
        <f>POWER(P$4-B107,2)</f>
        <v>2.0736000000000036E-2</v>
      </c>
      <c r="Q107" s="2">
        <f>POWER(Q$4-C107,2)</f>
        <v>7.2038560000000009</v>
      </c>
      <c r="R107" s="2">
        <f>POWER(R$4-D107,2)</f>
        <v>0.5776</v>
      </c>
      <c r="S107" s="7">
        <f t="shared" si="9"/>
        <v>3.4969998570203011</v>
      </c>
      <c r="T107" s="2">
        <f>POWER(T$4-A107,2)</f>
        <v>1.2341190082644695</v>
      </c>
      <c r="U107" s="2">
        <f>POWER(U$4-B107,2)</f>
        <v>2.6776859504132649E-2</v>
      </c>
      <c r="V107" s="2">
        <f>POWER(V$4-C107,2)</f>
        <v>1.8943768595041313</v>
      </c>
      <c r="W107" s="2">
        <f>POWER(W$4-D107,2)</f>
        <v>1.8595041322314199E-2</v>
      </c>
      <c r="X107" s="7">
        <f t="shared" si="10"/>
        <v>1.7815352279972037</v>
      </c>
      <c r="Y107" s="9">
        <f t="shared" si="11"/>
        <v>1.7815352279972037</v>
      </c>
      <c r="Z107" t="str">
        <f>IF(Y107=N107,"C1",IF(Y107=S107,"C2",IF(Y107=X107,"C3")))</f>
        <v>C3</v>
      </c>
    </row>
    <row r="108" spans="1:26" x14ac:dyDescent="0.2">
      <c r="A108">
        <v>6.3</v>
      </c>
      <c r="B108">
        <v>2.7</v>
      </c>
      <c r="C108">
        <v>4.9000000000000004</v>
      </c>
      <c r="D108">
        <v>1.8</v>
      </c>
      <c r="E108" s="3" t="s">
        <v>7</v>
      </c>
      <c r="J108" s="2">
        <f>POWER(J$4-A108,2)</f>
        <v>1.7292249999999965</v>
      </c>
      <c r="K108" s="2">
        <f>POWER(K$4-B108,2)</f>
        <v>0.50765624999999992</v>
      </c>
      <c r="L108" s="2">
        <f>POWER(L$4-C108,2)</f>
        <v>11.902500000000003</v>
      </c>
      <c r="M108" s="2">
        <f>POWER(M$4-D108,2)</f>
        <v>2.4025000000000007</v>
      </c>
      <c r="N108" s="7">
        <f t="shared" si="8"/>
        <v>4.0671711606471641</v>
      </c>
      <c r="O108" s="2">
        <f>POWER(O$4-A108,2)</f>
        <v>0.49561600000000089</v>
      </c>
      <c r="P108" s="2">
        <f>POWER(P$4-B108,2)</f>
        <v>1.9360000000000425E-3</v>
      </c>
      <c r="Q108" s="2">
        <f>POWER(Q$4-C108,2)</f>
        <v>0.78145600000000059</v>
      </c>
      <c r="R108" s="2">
        <f>POWER(R$4-D108,2)</f>
        <v>0.31360000000000005</v>
      </c>
      <c r="S108" s="7">
        <f t="shared" si="9"/>
        <v>1.2619857368449143</v>
      </c>
      <c r="T108" s="2">
        <f>POWER(T$4-A108,2)</f>
        <v>8.357355371900671E-2</v>
      </c>
      <c r="U108" s="2">
        <f>POWER(U$4-B108,2)</f>
        <v>6.9504132231405447E-2</v>
      </c>
      <c r="V108" s="2">
        <f>POWER(V$4-C108,2)</f>
        <v>0.17946776859504146</v>
      </c>
      <c r="W108" s="2">
        <f>POWER(W$4-D108,2)</f>
        <v>4.0495867768594292E-3</v>
      </c>
      <c r="X108" s="7">
        <f t="shared" si="10"/>
        <v>0.58016811470668828</v>
      </c>
      <c r="Y108" s="9">
        <f t="shared" si="11"/>
        <v>0.58016811470668828</v>
      </c>
      <c r="Z108" t="str">
        <f>IF(Y108=N108,"C1",IF(Y108=S108,"C2",IF(Y108=X108,"C3")))</f>
        <v>C3</v>
      </c>
    </row>
    <row r="109" spans="1:26" x14ac:dyDescent="0.2">
      <c r="A109">
        <v>6.7</v>
      </c>
      <c r="B109">
        <v>3.3</v>
      </c>
      <c r="C109">
        <v>5.7</v>
      </c>
      <c r="D109">
        <v>2.1</v>
      </c>
      <c r="E109" s="3" t="s">
        <v>7</v>
      </c>
      <c r="J109" s="2">
        <f>POWER(J$4-A109,2)</f>
        <v>2.9412249999999966</v>
      </c>
      <c r="K109" s="2">
        <f>POWER(K$4-B109,2)</f>
        <v>1.265625000000006E-2</v>
      </c>
      <c r="L109" s="2">
        <f>POWER(L$4-C109,2)</f>
        <v>18.0625</v>
      </c>
      <c r="M109" s="2">
        <f>POWER(M$4-D109,2)</f>
        <v>3.4225000000000012</v>
      </c>
      <c r="N109" s="7">
        <f t="shared" si="8"/>
        <v>4.9435696869772148</v>
      </c>
      <c r="O109" s="2">
        <f>POWER(O$4-A109,2)</f>
        <v>1.2188160000000021</v>
      </c>
      <c r="P109" s="2">
        <f>POWER(P$4-B109,2)</f>
        <v>0.41473600000000016</v>
      </c>
      <c r="Q109" s="2">
        <f>POWER(Q$4-C109,2)</f>
        <v>2.8358560000000006</v>
      </c>
      <c r="R109" s="2">
        <f>POWER(R$4-D109,2)</f>
        <v>0.73960000000000015</v>
      </c>
      <c r="S109" s="7">
        <f t="shared" si="9"/>
        <v>2.2823251302126093</v>
      </c>
      <c r="T109" s="2">
        <f>POWER(T$4-A109,2)</f>
        <v>1.2300826446281667E-2</v>
      </c>
      <c r="U109" s="2">
        <f>POWER(U$4-B109,2)</f>
        <v>0.11314049586776774</v>
      </c>
      <c r="V109" s="2">
        <f>POWER(V$4-C109,2)</f>
        <v>0.14164958677685924</v>
      </c>
      <c r="W109" s="2">
        <f>POWER(W$4-D109,2)</f>
        <v>5.5867768595041625E-2</v>
      </c>
      <c r="X109" s="7">
        <f t="shared" si="10"/>
        <v>0.56829453427421794</v>
      </c>
      <c r="Y109" s="9">
        <f t="shared" si="11"/>
        <v>0.56829453427421794</v>
      </c>
      <c r="Z109" t="str">
        <f>IF(Y109=N109,"C1",IF(Y109=S109,"C2",IF(Y109=X109,"C3")))</f>
        <v>C3</v>
      </c>
    </row>
    <row r="110" spans="1:26" x14ac:dyDescent="0.2">
      <c r="A110">
        <v>7.2</v>
      </c>
      <c r="B110">
        <v>3.2</v>
      </c>
      <c r="C110">
        <v>6</v>
      </c>
      <c r="D110">
        <v>1.8</v>
      </c>
      <c r="E110" s="3" t="s">
        <v>7</v>
      </c>
      <c r="J110" s="2">
        <f>POWER(J$4-A110,2)</f>
        <v>4.9062249999999956</v>
      </c>
      <c r="K110" s="2">
        <f>POWER(K$4-B110,2)</f>
        <v>4.515624999999996E-2</v>
      </c>
      <c r="L110" s="2">
        <f>POWER(L$4-C110,2)</f>
        <v>20.702500000000008</v>
      </c>
      <c r="M110" s="2">
        <f>POWER(M$4-D110,2)</f>
        <v>2.4025000000000007</v>
      </c>
      <c r="N110" s="7">
        <f t="shared" si="8"/>
        <v>5.2968274702882292</v>
      </c>
      <c r="O110" s="2">
        <f>POWER(O$4-A110,2)</f>
        <v>2.5728160000000031</v>
      </c>
      <c r="P110" s="2">
        <f>POWER(P$4-B110,2)</f>
        <v>0.29593600000000053</v>
      </c>
      <c r="Q110" s="2">
        <f>POWER(Q$4-C110,2)</f>
        <v>3.9362559999999998</v>
      </c>
      <c r="R110" s="2">
        <f>POWER(R$4-D110,2)</f>
        <v>0.31360000000000005</v>
      </c>
      <c r="S110" s="7">
        <f t="shared" si="9"/>
        <v>2.6680719630474745</v>
      </c>
      <c r="T110" s="2">
        <f>POWER(T$4-A110,2)</f>
        <v>0.37320991735537562</v>
      </c>
      <c r="U110" s="2">
        <f>POWER(U$4-B110,2)</f>
        <v>5.586776859504089E-2</v>
      </c>
      <c r="V110" s="2">
        <f>POWER(V$4-C110,2)</f>
        <v>0.45746776859504062</v>
      </c>
      <c r="W110" s="2">
        <f>POWER(W$4-D110,2)</f>
        <v>4.0495867768594292E-3</v>
      </c>
      <c r="X110" s="7">
        <f t="shared" si="10"/>
        <v>0.94371343178017586</v>
      </c>
      <c r="Y110" s="9">
        <f t="shared" si="11"/>
        <v>0.94371343178017586</v>
      </c>
      <c r="Z110" t="str">
        <f>IF(Y110=N110,"C1",IF(Y110=S110,"C2",IF(Y110=X110,"C3")))</f>
        <v>C3</v>
      </c>
    </row>
    <row r="111" spans="1:26" x14ac:dyDescent="0.2">
      <c r="A111">
        <v>6.2</v>
      </c>
      <c r="B111">
        <v>2.8</v>
      </c>
      <c r="C111">
        <v>4.8</v>
      </c>
      <c r="D111">
        <v>1.8</v>
      </c>
      <c r="E111" s="3" t="s">
        <v>7</v>
      </c>
      <c r="J111" s="2">
        <f>POWER(J$4-A111,2)</f>
        <v>1.4762249999999975</v>
      </c>
      <c r="K111" s="2">
        <f>POWER(K$4-B111,2)</f>
        <v>0.3751562500000003</v>
      </c>
      <c r="L111" s="2">
        <f>POWER(L$4-C111,2)</f>
        <v>11.2225</v>
      </c>
      <c r="M111" s="2">
        <f>POWER(M$4-D111,2)</f>
        <v>2.4025000000000007</v>
      </c>
      <c r="N111" s="7">
        <f t="shared" si="8"/>
        <v>3.934003209200521</v>
      </c>
      <c r="O111" s="2">
        <f>POWER(O$4-A111,2)</f>
        <v>0.36481600000000119</v>
      </c>
      <c r="P111" s="2">
        <f>POWER(P$4-B111,2)</f>
        <v>2.0736000000000036E-2</v>
      </c>
      <c r="Q111" s="2">
        <f>POWER(Q$4-C111,2)</f>
        <v>0.61465599999999965</v>
      </c>
      <c r="R111" s="2">
        <f>POWER(R$4-D111,2)</f>
        <v>0.31360000000000005</v>
      </c>
      <c r="S111" s="7">
        <f t="shared" si="9"/>
        <v>1.1462146395854491</v>
      </c>
      <c r="T111" s="2">
        <f>POWER(T$4-A111,2)</f>
        <v>0.15139173553718771</v>
      </c>
      <c r="U111" s="2">
        <f>POWER(U$4-B111,2)</f>
        <v>2.6776859504132649E-2</v>
      </c>
      <c r="V111" s="2">
        <f>POWER(V$4-C111,2)</f>
        <v>0.27419504132231481</v>
      </c>
      <c r="W111" s="2">
        <f>POWER(W$4-D111,2)</f>
        <v>4.0495867768594292E-3</v>
      </c>
      <c r="X111" s="7">
        <f t="shared" si="10"/>
        <v>0.67558361669040978</v>
      </c>
      <c r="Y111" s="9">
        <f t="shared" si="11"/>
        <v>0.67558361669040978</v>
      </c>
      <c r="Z111" t="str">
        <f>IF(Y111=N111,"C1",IF(Y111=S111,"C2",IF(Y111=X111,"C3")))</f>
        <v>C3</v>
      </c>
    </row>
    <row r="112" spans="1:26" x14ac:dyDescent="0.2">
      <c r="A112">
        <v>6.1</v>
      </c>
      <c r="B112">
        <v>3</v>
      </c>
      <c r="C112">
        <v>4.9000000000000004</v>
      </c>
      <c r="D112">
        <v>1.8</v>
      </c>
      <c r="E112" s="3" t="s">
        <v>7</v>
      </c>
      <c r="J112" s="2">
        <f>POWER(J$4-A112,2)</f>
        <v>1.2432249999999965</v>
      </c>
      <c r="K112" s="2">
        <f>POWER(K$4-B112,2)</f>
        <v>0.17015625000000006</v>
      </c>
      <c r="L112" s="2">
        <f>POWER(L$4-C112,2)</f>
        <v>11.902500000000003</v>
      </c>
      <c r="M112" s="2">
        <f>POWER(M$4-D112,2)</f>
        <v>2.4025000000000007</v>
      </c>
      <c r="N112" s="7">
        <f t="shared" si="8"/>
        <v>3.9646413772244267</v>
      </c>
      <c r="O112" s="2">
        <f>POWER(O$4-A112,2)</f>
        <v>0.25401600000000046</v>
      </c>
      <c r="P112" s="2">
        <f>POWER(P$4-B112,2)</f>
        <v>0.1183360000000002</v>
      </c>
      <c r="Q112" s="2">
        <f>POWER(Q$4-C112,2)</f>
        <v>0.78145600000000059</v>
      </c>
      <c r="R112" s="2">
        <f>POWER(R$4-D112,2)</f>
        <v>0.31360000000000005</v>
      </c>
      <c r="S112" s="7">
        <f t="shared" si="9"/>
        <v>1.2113661708996175</v>
      </c>
      <c r="T112" s="2">
        <f>POWER(T$4-A112,2)</f>
        <v>0.23920991735536945</v>
      </c>
      <c r="U112" s="2">
        <f>POWER(U$4-B112,2)</f>
        <v>1.3223140495866969E-3</v>
      </c>
      <c r="V112" s="2">
        <f>POWER(V$4-C112,2)</f>
        <v>0.17946776859504146</v>
      </c>
      <c r="W112" s="2">
        <f>POWER(W$4-D112,2)</f>
        <v>4.0495867768594292E-3</v>
      </c>
      <c r="X112" s="7">
        <f t="shared" si="10"/>
        <v>0.65119089887440607</v>
      </c>
      <c r="Y112" s="9">
        <f t="shared" si="11"/>
        <v>0.65119089887440607</v>
      </c>
      <c r="Z112" t="str">
        <f>IF(Y112=N112,"C1",IF(Y112=S112,"C2",IF(Y112=X112,"C3")))</f>
        <v>C3</v>
      </c>
    </row>
    <row r="113" spans="1:26" x14ac:dyDescent="0.2">
      <c r="A113">
        <v>6.4</v>
      </c>
      <c r="B113">
        <v>2.8</v>
      </c>
      <c r="C113">
        <v>5.6</v>
      </c>
      <c r="D113">
        <v>2.1</v>
      </c>
      <c r="E113" s="3" t="s">
        <v>7</v>
      </c>
      <c r="J113" s="2">
        <f>POWER(J$4-A113,2)</f>
        <v>2.0022249999999975</v>
      </c>
      <c r="K113" s="2">
        <f>POWER(K$4-B113,2)</f>
        <v>0.3751562500000003</v>
      </c>
      <c r="L113" s="2">
        <f>POWER(L$4-C113,2)</f>
        <v>17.222500000000004</v>
      </c>
      <c r="M113" s="2">
        <f>POWER(M$4-D113,2)</f>
        <v>3.4225000000000012</v>
      </c>
      <c r="N113" s="7">
        <f t="shared" si="8"/>
        <v>4.798164362545327</v>
      </c>
      <c r="O113" s="2">
        <f>POWER(O$4-A113,2)</f>
        <v>0.64641600000000188</v>
      </c>
      <c r="P113" s="2">
        <f>POWER(P$4-B113,2)</f>
        <v>2.0736000000000036E-2</v>
      </c>
      <c r="Q113" s="2">
        <f>POWER(Q$4-C113,2)</f>
        <v>2.5090559999999988</v>
      </c>
      <c r="R113" s="2">
        <f>POWER(R$4-D113,2)</f>
        <v>0.73960000000000015</v>
      </c>
      <c r="S113" s="7">
        <f t="shared" si="9"/>
        <v>1.9788400642800825</v>
      </c>
      <c r="T113" s="2">
        <f>POWER(T$4-A113,2)</f>
        <v>3.5755371900825228E-2</v>
      </c>
      <c r="U113" s="2">
        <f>POWER(U$4-B113,2)</f>
        <v>2.6776859504132649E-2</v>
      </c>
      <c r="V113" s="2">
        <f>POWER(V$4-C113,2)</f>
        <v>7.6376859504131742E-2</v>
      </c>
      <c r="W113" s="2">
        <f>POWER(W$4-D113,2)</f>
        <v>5.5867768595041625E-2</v>
      </c>
      <c r="X113" s="7">
        <f t="shared" si="10"/>
        <v>0.44133531413669047</v>
      </c>
      <c r="Y113" s="9">
        <f t="shared" si="11"/>
        <v>0.44133531413669047</v>
      </c>
      <c r="Z113" t="str">
        <f>IF(Y113=N113,"C1",IF(Y113=S113,"C2",IF(Y113=X113,"C3")))</f>
        <v>C3</v>
      </c>
    </row>
    <row r="114" spans="1:26" x14ac:dyDescent="0.2">
      <c r="A114">
        <v>7.2</v>
      </c>
      <c r="B114">
        <v>3</v>
      </c>
      <c r="C114">
        <v>5.8</v>
      </c>
      <c r="D114">
        <v>1.6</v>
      </c>
      <c r="E114" s="3" t="s">
        <v>7</v>
      </c>
      <c r="J114" s="2">
        <f>POWER(J$4-A114,2)</f>
        <v>4.9062249999999956</v>
      </c>
      <c r="K114" s="2">
        <f>POWER(K$4-B114,2)</f>
        <v>0.17015625000000006</v>
      </c>
      <c r="L114" s="2">
        <f>POWER(L$4-C114,2)</f>
        <v>18.922499999999996</v>
      </c>
      <c r="M114" s="2">
        <f>POWER(M$4-D114,2)</f>
        <v>1.8225000000000009</v>
      </c>
      <c r="N114" s="7">
        <f t="shared" si="8"/>
        <v>5.0814743185418134</v>
      </c>
      <c r="O114" s="2">
        <f>POWER(O$4-A114,2)</f>
        <v>2.5728160000000031</v>
      </c>
      <c r="P114" s="2">
        <f>POWER(P$4-B114,2)</f>
        <v>0.1183360000000002</v>
      </c>
      <c r="Q114" s="2">
        <f>POWER(Q$4-C114,2)</f>
        <v>3.1826559999999993</v>
      </c>
      <c r="R114" s="2">
        <f>POWER(R$4-D114,2)</f>
        <v>0.12960000000000008</v>
      </c>
      <c r="S114" s="7">
        <f t="shared" si="9"/>
        <v>2.4501852991151511</v>
      </c>
      <c r="T114" s="2">
        <f>POWER(T$4-A114,2)</f>
        <v>0.37320991735537562</v>
      </c>
      <c r="U114" s="2">
        <f>POWER(U$4-B114,2)</f>
        <v>1.3223140495866969E-3</v>
      </c>
      <c r="V114" s="2">
        <f>POWER(V$4-C114,2)</f>
        <v>0.2269223140495861</v>
      </c>
      <c r="W114" s="2">
        <f>POWER(W$4-D114,2)</f>
        <v>6.9504132231404628E-2</v>
      </c>
      <c r="X114" s="7">
        <f t="shared" si="10"/>
        <v>0.81912067345779593</v>
      </c>
      <c r="Y114" s="9">
        <f t="shared" si="11"/>
        <v>0.81912067345779593</v>
      </c>
      <c r="Z114" t="str">
        <f>IF(Y114=N114,"C1",IF(Y114=S114,"C2",IF(Y114=X114,"C3")))</f>
        <v>C3</v>
      </c>
    </row>
    <row r="115" spans="1:26" x14ac:dyDescent="0.2">
      <c r="A115">
        <v>7.4</v>
      </c>
      <c r="B115">
        <v>2.8</v>
      </c>
      <c r="C115">
        <v>6.1</v>
      </c>
      <c r="D115">
        <v>1.9</v>
      </c>
      <c r="E115" s="3" t="s">
        <v>7</v>
      </c>
      <c r="J115" s="2">
        <f>POWER(J$4-A115,2)</f>
        <v>5.8322249999999958</v>
      </c>
      <c r="K115" s="2">
        <f>POWER(K$4-B115,2)</f>
        <v>0.3751562500000003</v>
      </c>
      <c r="L115" s="2">
        <f>POWER(L$4-C115,2)</f>
        <v>21.622500000000002</v>
      </c>
      <c r="M115" s="2">
        <f>POWER(M$4-D115,2)</f>
        <v>2.7225000000000006</v>
      </c>
      <c r="N115" s="7">
        <f t="shared" si="8"/>
        <v>5.5274208497272941</v>
      </c>
      <c r="O115" s="2">
        <f>POWER(O$4-A115,2)</f>
        <v>3.254416000000004</v>
      </c>
      <c r="P115" s="2">
        <f>POWER(P$4-B115,2)</f>
        <v>2.0736000000000036E-2</v>
      </c>
      <c r="Q115" s="2">
        <f>POWER(Q$4-C115,2)</f>
        <v>4.343055999999998</v>
      </c>
      <c r="R115" s="2">
        <f>POWER(R$4-D115,2)</f>
        <v>0.43559999999999988</v>
      </c>
      <c r="S115" s="7">
        <f t="shared" si="9"/>
        <v>2.8379231843022112</v>
      </c>
      <c r="T115" s="2">
        <f>POWER(T$4-A115,2)</f>
        <v>0.65757355371901349</v>
      </c>
      <c r="U115" s="2">
        <f>POWER(U$4-B115,2)</f>
        <v>2.6776859504132649E-2</v>
      </c>
      <c r="V115" s="2">
        <f>POWER(V$4-C115,2)</f>
        <v>0.60274049586776723</v>
      </c>
      <c r="W115" s="2">
        <f>POWER(W$4-D115,2)</f>
        <v>1.3223140495868101E-3</v>
      </c>
      <c r="X115" s="7">
        <f t="shared" si="10"/>
        <v>1.1350829146544759</v>
      </c>
      <c r="Y115" s="9">
        <f t="shared" si="11"/>
        <v>1.1350829146544759</v>
      </c>
      <c r="Z115" t="str">
        <f>IF(Y115=N115,"C1",IF(Y115=S115,"C2",IF(Y115=X115,"C3")))</f>
        <v>C3</v>
      </c>
    </row>
    <row r="116" spans="1:26" x14ac:dyDescent="0.2">
      <c r="A116">
        <v>7.9</v>
      </c>
      <c r="B116">
        <v>3.8</v>
      </c>
      <c r="C116">
        <v>6.4</v>
      </c>
      <c r="D116">
        <v>2</v>
      </c>
      <c r="E116" s="3" t="s">
        <v>7</v>
      </c>
      <c r="J116" s="2">
        <f>POWER(J$4-A116,2)</f>
        <v>8.4972249999999949</v>
      </c>
      <c r="K116" s="2">
        <f>POWER(K$4-B116,2)</f>
        <v>0.1501562499999998</v>
      </c>
      <c r="L116" s="2">
        <f>POWER(L$4-C116,2)</f>
        <v>24.502500000000012</v>
      </c>
      <c r="M116" s="2">
        <f>POWER(M$4-D116,2)</f>
        <v>3.0625000000000009</v>
      </c>
      <c r="N116" s="7">
        <f t="shared" si="8"/>
        <v>6.0176724113231694</v>
      </c>
      <c r="O116" s="2">
        <f>POWER(O$4-A116,2)</f>
        <v>5.3084160000000056</v>
      </c>
      <c r="P116" s="2">
        <f>POWER(P$4-B116,2)</f>
        <v>1.3087360000000003</v>
      </c>
      <c r="Q116" s="2">
        <f>POWER(Q$4-C116,2)</f>
        <v>5.6834560000000014</v>
      </c>
      <c r="R116" s="2">
        <f>POWER(R$4-D116,2)</f>
        <v>0.5776</v>
      </c>
      <c r="S116" s="7">
        <f t="shared" si="9"/>
        <v>3.588622019661587</v>
      </c>
      <c r="T116" s="2">
        <f>POWER(T$4-A116,2)</f>
        <v>1.7184826446281076</v>
      </c>
      <c r="U116" s="2">
        <f>POWER(U$4-B116,2)</f>
        <v>0.69950413223140284</v>
      </c>
      <c r="V116" s="2">
        <f>POWER(V$4-C116,2)</f>
        <v>1.15855867768595</v>
      </c>
      <c r="W116" s="2">
        <f>POWER(W$4-D116,2)</f>
        <v>1.8595041322314199E-2</v>
      </c>
      <c r="X116" s="7">
        <f t="shared" si="10"/>
        <v>1.8960855718737419</v>
      </c>
      <c r="Y116" s="9">
        <f t="shared" si="11"/>
        <v>1.8960855718737419</v>
      </c>
      <c r="Z116" t="str">
        <f>IF(Y116=N116,"C1",IF(Y116=S116,"C2",IF(Y116=X116,"C3")))</f>
        <v>C3</v>
      </c>
    </row>
    <row r="117" spans="1:26" x14ac:dyDescent="0.2">
      <c r="A117">
        <v>6.4</v>
      </c>
      <c r="B117">
        <v>2.8</v>
      </c>
      <c r="C117">
        <v>5.6</v>
      </c>
      <c r="D117">
        <v>2.2000000000000002</v>
      </c>
      <c r="E117" s="3" t="s">
        <v>7</v>
      </c>
      <c r="J117" s="2">
        <f>POWER(J$4-A117,2)</f>
        <v>2.0022249999999975</v>
      </c>
      <c r="K117" s="2">
        <f>POWER(K$4-B117,2)</f>
        <v>0.3751562500000003</v>
      </c>
      <c r="L117" s="2">
        <f>POWER(L$4-C117,2)</f>
        <v>17.222500000000004</v>
      </c>
      <c r="M117" s="2">
        <f>POWER(M$4-D117,2)</f>
        <v>3.8025000000000015</v>
      </c>
      <c r="N117" s="7">
        <f t="shared" si="8"/>
        <v>4.8376007741441427</v>
      </c>
      <c r="O117" s="2">
        <f>POWER(O$4-A117,2)</f>
        <v>0.64641600000000188</v>
      </c>
      <c r="P117" s="2">
        <f>POWER(P$4-B117,2)</f>
        <v>2.0736000000000036E-2</v>
      </c>
      <c r="Q117" s="2">
        <f>POWER(Q$4-C117,2)</f>
        <v>2.5090559999999988</v>
      </c>
      <c r="R117" s="2">
        <f>POWER(R$4-D117,2)</f>
        <v>0.92160000000000031</v>
      </c>
      <c r="S117" s="7">
        <f t="shared" si="9"/>
        <v>2.0243043249472152</v>
      </c>
      <c r="T117" s="2">
        <f>POWER(T$4-A117,2)</f>
        <v>3.5755371900825228E-2</v>
      </c>
      <c r="U117" s="2">
        <f>POWER(U$4-B117,2)</f>
        <v>2.6776859504132649E-2</v>
      </c>
      <c r="V117" s="2">
        <f>POWER(V$4-C117,2)</f>
        <v>7.6376859504131742E-2</v>
      </c>
      <c r="W117" s="2">
        <f>POWER(W$4-D117,2)</f>
        <v>0.11314049586776909</v>
      </c>
      <c r="X117" s="7">
        <f t="shared" si="10"/>
        <v>0.50204540310300494</v>
      </c>
      <c r="Y117" s="9">
        <f t="shared" si="11"/>
        <v>0.50204540310300494</v>
      </c>
      <c r="Z117" t="str">
        <f>IF(Y117=N117,"C1",IF(Y117=S117,"C2",IF(Y117=X117,"C3")))</f>
        <v>C3</v>
      </c>
    </row>
    <row r="118" spans="1:26" x14ac:dyDescent="0.2">
      <c r="A118">
        <v>6.3</v>
      </c>
      <c r="B118">
        <v>2.8</v>
      </c>
      <c r="C118">
        <v>5.0999999999999996</v>
      </c>
      <c r="D118">
        <v>1.5</v>
      </c>
      <c r="E118" s="3" t="s">
        <v>7</v>
      </c>
      <c r="J118" s="2">
        <f>POWER(J$4-A118,2)</f>
        <v>1.7292249999999965</v>
      </c>
      <c r="K118" s="2">
        <f>POWER(K$4-B118,2)</f>
        <v>0.3751562500000003</v>
      </c>
      <c r="L118" s="2">
        <f>POWER(L$4-C118,2)</f>
        <v>13.3225</v>
      </c>
      <c r="M118" s="2">
        <f>POWER(M$4-D118,2)</f>
        <v>1.5625000000000007</v>
      </c>
      <c r="N118" s="7">
        <f t="shared" si="8"/>
        <v>4.1218177118839208</v>
      </c>
      <c r="O118" s="2">
        <f>POWER(O$4-A118,2)</f>
        <v>0.49561600000000089</v>
      </c>
      <c r="P118" s="2">
        <f>POWER(P$4-B118,2)</f>
        <v>2.0736000000000036E-2</v>
      </c>
      <c r="Q118" s="2">
        <f>POWER(Q$4-C118,2)</f>
        <v>1.1750559999999992</v>
      </c>
      <c r="R118" s="2">
        <f>POWER(R$4-D118,2)</f>
        <v>6.7600000000000007E-2</v>
      </c>
      <c r="S118" s="7">
        <f t="shared" si="9"/>
        <v>1.3262759893777767</v>
      </c>
      <c r="T118" s="2">
        <f>POWER(T$4-A118,2)</f>
        <v>8.357355371900671E-2</v>
      </c>
      <c r="U118" s="2">
        <f>POWER(U$4-B118,2)</f>
        <v>2.6776859504132649E-2</v>
      </c>
      <c r="V118" s="2">
        <f>POWER(V$4-C118,2)</f>
        <v>5.0013223140496263E-2</v>
      </c>
      <c r="W118" s="2">
        <f>POWER(W$4-D118,2)</f>
        <v>0.1322314049586773</v>
      </c>
      <c r="X118" s="7">
        <f t="shared" si="10"/>
        <v>0.54092054991681815</v>
      </c>
      <c r="Y118" s="9">
        <f t="shared" si="11"/>
        <v>0.54092054991681815</v>
      </c>
      <c r="Z118" t="str">
        <f>IF(Y118=N118,"C1",IF(Y118=S118,"C2",IF(Y118=X118,"C3")))</f>
        <v>C3</v>
      </c>
    </row>
    <row r="119" spans="1:26" x14ac:dyDescent="0.2">
      <c r="A119">
        <v>6.7</v>
      </c>
      <c r="B119">
        <v>3.3</v>
      </c>
      <c r="C119">
        <v>5.7</v>
      </c>
      <c r="D119">
        <v>2.5</v>
      </c>
      <c r="E119" s="3" t="s">
        <v>7</v>
      </c>
      <c r="J119" s="2">
        <f>POWER(J$4-A119,2)</f>
        <v>2.9412249999999966</v>
      </c>
      <c r="K119" s="2">
        <f>POWER(K$4-B119,2)</f>
        <v>1.265625000000006E-2</v>
      </c>
      <c r="L119" s="2">
        <f>POWER(L$4-C119,2)</f>
        <v>18.0625</v>
      </c>
      <c r="M119" s="2">
        <f>POWER(M$4-D119,2)</f>
        <v>5.0625</v>
      </c>
      <c r="N119" s="7">
        <f t="shared" si="8"/>
        <v>5.1067485986682364</v>
      </c>
      <c r="O119" s="2">
        <f>POWER(O$4-A119,2)</f>
        <v>1.2188160000000021</v>
      </c>
      <c r="P119" s="2">
        <f>POWER(P$4-B119,2)</f>
        <v>0.41473600000000016</v>
      </c>
      <c r="Q119" s="2">
        <f>POWER(Q$4-C119,2)</f>
        <v>2.8358560000000006</v>
      </c>
      <c r="R119" s="2">
        <f>POWER(R$4-D119,2)</f>
        <v>1.5876000000000001</v>
      </c>
      <c r="S119" s="7">
        <f t="shared" si="9"/>
        <v>2.4610989415299831</v>
      </c>
      <c r="T119" s="2">
        <f>POWER(T$4-A119,2)</f>
        <v>1.2300826446281667E-2</v>
      </c>
      <c r="U119" s="2">
        <f>POWER(U$4-B119,2)</f>
        <v>0.11314049586776774</v>
      </c>
      <c r="V119" s="2">
        <f>POWER(V$4-C119,2)</f>
        <v>0.14164958677685924</v>
      </c>
      <c r="W119" s="2">
        <f>POWER(W$4-D119,2)</f>
        <v>0.40495867768595112</v>
      </c>
      <c r="X119" s="7">
        <f t="shared" si="10"/>
        <v>0.81978630555581966</v>
      </c>
      <c r="Y119" s="9">
        <f t="shared" si="11"/>
        <v>0.81978630555581966</v>
      </c>
      <c r="Z119" t="str">
        <f>IF(Y119=N119,"C1",IF(Y119=S119,"C2",IF(Y119=X119,"C3")))</f>
        <v>C3</v>
      </c>
    </row>
    <row r="120" spans="1:26" x14ac:dyDescent="0.2">
      <c r="A120">
        <v>6.7</v>
      </c>
      <c r="B120">
        <v>3</v>
      </c>
      <c r="C120">
        <v>5.2</v>
      </c>
      <c r="D120">
        <v>2.2999999999999998</v>
      </c>
      <c r="E120" s="3" t="s">
        <v>7</v>
      </c>
      <c r="J120" s="2">
        <f>POWER(J$4-A120,2)</f>
        <v>2.9412249999999966</v>
      </c>
      <c r="K120" s="2">
        <f>POWER(K$4-B120,2)</f>
        <v>0.17015625000000006</v>
      </c>
      <c r="L120" s="2">
        <f>POWER(L$4-C120,2)</f>
        <v>14.062500000000004</v>
      </c>
      <c r="M120" s="2">
        <f>POWER(M$4-D120,2)</f>
        <v>4.2024999999999997</v>
      </c>
      <c r="N120" s="7">
        <f t="shared" si="8"/>
        <v>4.6234598787055567</v>
      </c>
      <c r="O120" s="2">
        <f>POWER(O$4-A120,2)</f>
        <v>1.2188160000000021</v>
      </c>
      <c r="P120" s="2">
        <f>POWER(P$4-B120,2)</f>
        <v>0.1183360000000002</v>
      </c>
      <c r="Q120" s="2">
        <f>POWER(Q$4-C120,2)</f>
        <v>1.4018560000000004</v>
      </c>
      <c r="R120" s="2">
        <f>POWER(R$4-D120,2)</f>
        <v>1.1235999999999997</v>
      </c>
      <c r="S120" s="7">
        <f t="shared" si="9"/>
        <v>1.965351876891261</v>
      </c>
      <c r="T120" s="2">
        <f>POWER(T$4-A120,2)</f>
        <v>1.2300826446281667E-2</v>
      </c>
      <c r="U120" s="2">
        <f>POWER(U$4-B120,2)</f>
        <v>1.3223140495866969E-3</v>
      </c>
      <c r="V120" s="2">
        <f>POWER(V$4-C120,2)</f>
        <v>1.5285950413223228E-2</v>
      </c>
      <c r="W120" s="2">
        <f>POWER(W$4-D120,2)</f>
        <v>0.19041322314049619</v>
      </c>
      <c r="X120" s="7">
        <f t="shared" si="10"/>
        <v>0.46831860314276197</v>
      </c>
      <c r="Y120" s="9">
        <f t="shared" si="11"/>
        <v>0.46831860314276197</v>
      </c>
      <c r="Z120" t="str">
        <f>IF(Y120=N120,"C1",IF(Y120=S120,"C2",IF(Y120=X120,"C3")))</f>
        <v>C3</v>
      </c>
    </row>
    <row r="121" spans="1:26" x14ac:dyDescent="0.2">
      <c r="A121">
        <v>6.3</v>
      </c>
      <c r="B121">
        <v>2.5</v>
      </c>
      <c r="C121">
        <v>5</v>
      </c>
      <c r="D121">
        <v>1.9</v>
      </c>
      <c r="E121" s="3" t="s">
        <v>7</v>
      </c>
      <c r="J121" s="2">
        <f>POWER(J$4-A121,2)</f>
        <v>1.7292249999999965</v>
      </c>
      <c r="K121" s="2">
        <f>POWER(K$4-B121,2)</f>
        <v>0.83265625000000021</v>
      </c>
      <c r="L121" s="2">
        <f>POWER(L$4-C121,2)</f>
        <v>12.602500000000003</v>
      </c>
      <c r="M121" s="2">
        <f>POWER(M$4-D121,2)</f>
        <v>2.7225000000000006</v>
      </c>
      <c r="N121" s="7">
        <f t="shared" si="8"/>
        <v>4.2292885039921311</v>
      </c>
      <c r="O121" s="2">
        <f>POWER(O$4-A121,2)</f>
        <v>0.49561600000000089</v>
      </c>
      <c r="P121" s="2">
        <f>POWER(P$4-B121,2)</f>
        <v>2.4335999999999906E-2</v>
      </c>
      <c r="Q121" s="2">
        <f>POWER(Q$4-C121,2)</f>
        <v>0.96825600000000001</v>
      </c>
      <c r="R121" s="2">
        <f>POWER(R$4-D121,2)</f>
        <v>0.43559999999999988</v>
      </c>
      <c r="S121" s="7">
        <f t="shared" si="9"/>
        <v>1.3870140590491506</v>
      </c>
      <c r="T121" s="2">
        <f>POWER(T$4-A121,2)</f>
        <v>8.357355371900671E-2</v>
      </c>
      <c r="U121" s="2">
        <f>POWER(U$4-B121,2)</f>
        <v>0.21495867768595142</v>
      </c>
      <c r="V121" s="2">
        <f>POWER(V$4-C121,2)</f>
        <v>0.10474049586776894</v>
      </c>
      <c r="W121" s="2">
        <f>POWER(W$4-D121,2)</f>
        <v>1.3223140495868101E-3</v>
      </c>
      <c r="X121" s="7">
        <f t="shared" si="10"/>
        <v>0.6360778579091666</v>
      </c>
      <c r="Y121" s="9">
        <f t="shared" si="11"/>
        <v>0.6360778579091666</v>
      </c>
      <c r="Z121" t="str">
        <f>IF(Y121=N121,"C1",IF(Y121=S121,"C2",IF(Y121=X121,"C3")))</f>
        <v>C3</v>
      </c>
    </row>
    <row r="122" spans="1:26" x14ac:dyDescent="0.2">
      <c r="A122">
        <v>6.5</v>
      </c>
      <c r="B122">
        <v>3</v>
      </c>
      <c r="C122">
        <v>5.2</v>
      </c>
      <c r="D122">
        <v>2</v>
      </c>
      <c r="E122" s="3" t="s">
        <v>7</v>
      </c>
      <c r="J122" s="2">
        <f>POWER(J$4-A122,2)</f>
        <v>2.2952249999999963</v>
      </c>
      <c r="K122" s="2">
        <f>POWER(K$4-B122,2)</f>
        <v>0.17015625000000006</v>
      </c>
      <c r="L122" s="2">
        <f>POWER(L$4-C122,2)</f>
        <v>14.062500000000004</v>
      </c>
      <c r="M122" s="2">
        <f>POWER(M$4-D122,2)</f>
        <v>3.0625000000000009</v>
      </c>
      <c r="N122" s="7">
        <f t="shared" si="8"/>
        <v>4.4261022638434371</v>
      </c>
      <c r="O122" s="2">
        <f>POWER(O$4-A122,2)</f>
        <v>0.8172160000000015</v>
      </c>
      <c r="P122" s="2">
        <f>POWER(P$4-B122,2)</f>
        <v>0.1183360000000002</v>
      </c>
      <c r="Q122" s="2">
        <f>POWER(Q$4-C122,2)</f>
        <v>1.4018560000000004</v>
      </c>
      <c r="R122" s="2">
        <f>POWER(R$4-D122,2)</f>
        <v>0.5776</v>
      </c>
      <c r="S122" s="7">
        <f t="shared" si="9"/>
        <v>1.7073394507244311</v>
      </c>
      <c r="T122" s="2">
        <f>POWER(T$4-A122,2)</f>
        <v>7.9371900826441175E-3</v>
      </c>
      <c r="U122" s="2">
        <f>POWER(U$4-B122,2)</f>
        <v>1.3223140495866969E-3</v>
      </c>
      <c r="V122" s="2">
        <f>POWER(V$4-C122,2)</f>
        <v>1.5285950413223228E-2</v>
      </c>
      <c r="W122" s="2">
        <f>POWER(W$4-D122,2)</f>
        <v>1.8595041322314199E-2</v>
      </c>
      <c r="X122" s="7">
        <f t="shared" si="10"/>
        <v>0.20770290288719667</v>
      </c>
      <c r="Y122" s="9">
        <f t="shared" si="11"/>
        <v>0.20770290288719667</v>
      </c>
      <c r="Z122" t="str">
        <f>IF(Y122=N122,"C1",IF(Y122=S122,"C2",IF(Y122=X122,"C3")))</f>
        <v>C3</v>
      </c>
    </row>
    <row r="123" spans="1:26" x14ac:dyDescent="0.2">
      <c r="A123">
        <v>6.2</v>
      </c>
      <c r="B123">
        <v>3.4</v>
      </c>
      <c r="C123">
        <v>5.4</v>
      </c>
      <c r="D123">
        <v>2.2999999999999998</v>
      </c>
      <c r="E123" s="3" t="s">
        <v>7</v>
      </c>
      <c r="J123" s="2">
        <f>POWER(J$4-A123,2)</f>
        <v>1.4762249999999975</v>
      </c>
      <c r="K123" s="2">
        <f>POWER(K$4-B123,2)</f>
        <v>1.5625000000000445E-4</v>
      </c>
      <c r="L123" s="2">
        <f>POWER(L$4-C123,2)</f>
        <v>15.602500000000004</v>
      </c>
      <c r="M123" s="2">
        <f>POWER(M$4-D123,2)</f>
        <v>4.2024999999999997</v>
      </c>
      <c r="N123" s="7">
        <f t="shared" si="8"/>
        <v>4.6131747473946838</v>
      </c>
      <c r="O123" s="2">
        <f>POWER(O$4-A123,2)</f>
        <v>0.36481600000000119</v>
      </c>
      <c r="P123" s="2">
        <f>POWER(P$4-B123,2)</f>
        <v>0.55353600000000036</v>
      </c>
      <c r="Q123" s="2">
        <f>POWER(Q$4-C123,2)</f>
        <v>1.9154560000000009</v>
      </c>
      <c r="R123" s="2">
        <f>POWER(R$4-D123,2)</f>
        <v>1.1235999999999997</v>
      </c>
      <c r="S123" s="7">
        <f t="shared" si="9"/>
        <v>1.9893235031035053</v>
      </c>
      <c r="T123" s="2">
        <f>POWER(T$4-A123,2)</f>
        <v>0.15139173553718771</v>
      </c>
      <c r="U123" s="2">
        <f>POWER(U$4-B123,2)</f>
        <v>0.19041322314049483</v>
      </c>
      <c r="V123" s="2">
        <f>POWER(V$4-C123,2)</f>
        <v>5.8314049586776591E-3</v>
      </c>
      <c r="W123" s="2">
        <f>POWER(W$4-D123,2)</f>
        <v>0.19041322314049619</v>
      </c>
      <c r="X123" s="7">
        <f t="shared" si="10"/>
        <v>0.73351863423968744</v>
      </c>
      <c r="Y123" s="9">
        <f t="shared" si="11"/>
        <v>0.73351863423968744</v>
      </c>
      <c r="Z123" t="str">
        <f>IF(Y123=N123,"C1",IF(Y123=S123,"C2",IF(Y123=X123,"C3")))</f>
        <v>C3</v>
      </c>
    </row>
    <row r="124" spans="1:26" x14ac:dyDescent="0.2">
      <c r="A124">
        <v>5.9</v>
      </c>
      <c r="B124">
        <v>3</v>
      </c>
      <c r="C124">
        <v>5.0999999999999996</v>
      </c>
      <c r="D124">
        <v>1.8</v>
      </c>
      <c r="E124" s="3" t="s">
        <v>7</v>
      </c>
      <c r="J124" s="2">
        <f>POWER(J$4-A124,2)</f>
        <v>0.83722499999999844</v>
      </c>
      <c r="K124" s="2">
        <f>POWER(K$4-B124,2)</f>
        <v>0.17015625000000006</v>
      </c>
      <c r="L124" s="2">
        <f>POWER(L$4-C124,2)</f>
        <v>13.3225</v>
      </c>
      <c r="M124" s="2">
        <f>POWER(M$4-D124,2)</f>
        <v>2.4025000000000007</v>
      </c>
      <c r="N124" s="7">
        <f t="shared" si="8"/>
        <v>4.0905233467124962</v>
      </c>
      <c r="O124" s="2">
        <f>POWER(O$4-A124,2)</f>
        <v>9.2416000000000706E-2</v>
      </c>
      <c r="P124" s="2">
        <f>POWER(P$4-B124,2)</f>
        <v>0.1183360000000002</v>
      </c>
      <c r="Q124" s="2">
        <f>POWER(Q$4-C124,2)</f>
        <v>1.1750559999999992</v>
      </c>
      <c r="R124" s="2">
        <f>POWER(R$4-D124,2)</f>
        <v>0.31360000000000005</v>
      </c>
      <c r="S124" s="7">
        <f t="shared" si="9"/>
        <v>1.3036134396361523</v>
      </c>
      <c r="T124" s="2">
        <f>POWER(T$4-A124,2)</f>
        <v>0.4748462809917311</v>
      </c>
      <c r="U124" s="2">
        <f>POWER(U$4-B124,2)</f>
        <v>1.3223140495866969E-3</v>
      </c>
      <c r="V124" s="2">
        <f>POWER(V$4-C124,2)</f>
        <v>5.0013223140496263E-2</v>
      </c>
      <c r="W124" s="2">
        <f>POWER(W$4-D124,2)</f>
        <v>4.0495867768594292E-3</v>
      </c>
      <c r="X124" s="7">
        <f t="shared" si="10"/>
        <v>0.72816990116227231</v>
      </c>
      <c r="Y124" s="9">
        <f t="shared" si="11"/>
        <v>0.72816990116227231</v>
      </c>
      <c r="Z124" t="str">
        <f>IF(Y124=N124,"C1",IF(Y124=S124,"C2",IF(Y124=X124,"C3")))</f>
        <v>C3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AED6-8FA7-2349-8781-FDB01F6A3352}">
  <sheetPr filterMode="1"/>
  <dimension ref="A1:F121"/>
  <sheetViews>
    <sheetView workbookViewId="0">
      <selection sqref="A1:F121"/>
    </sheetView>
  </sheetViews>
  <sheetFormatPr baseColWidth="10" defaultRowHeight="16" x14ac:dyDescent="0.2"/>
  <cols>
    <col min="2" max="2" width="10.33203125" bestFit="1" customWidth="1"/>
    <col min="3" max="3" width="10.6640625" bestFit="1" customWidth="1"/>
    <col min="4" max="4" width="10.1640625" bestFit="1" customWidth="1"/>
    <col min="5" max="5" width="12.33203125" bestFit="1" customWidth="1"/>
    <col min="6" max="6" width="9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hidden="1" x14ac:dyDescent="0.2">
      <c r="A2">
        <v>5.0999999999999996</v>
      </c>
      <c r="B2">
        <v>3.5</v>
      </c>
      <c r="C2">
        <v>1.4</v>
      </c>
      <c r="D2">
        <v>0.2</v>
      </c>
      <c r="E2" s="3" t="s">
        <v>5</v>
      </c>
      <c r="F2" t="s">
        <v>16</v>
      </c>
    </row>
    <row r="3" spans="1:6" hidden="1" x14ac:dyDescent="0.2">
      <c r="A3">
        <v>4.9000000000000004</v>
      </c>
      <c r="B3">
        <v>3</v>
      </c>
      <c r="C3">
        <v>1.4</v>
      </c>
      <c r="D3">
        <v>0.2</v>
      </c>
      <c r="E3" s="3" t="s">
        <v>5</v>
      </c>
      <c r="F3" t="s">
        <v>16</v>
      </c>
    </row>
    <row r="4" spans="1:6" hidden="1" x14ac:dyDescent="0.2">
      <c r="A4">
        <v>4.7</v>
      </c>
      <c r="B4">
        <v>3.2</v>
      </c>
      <c r="C4">
        <v>1.3</v>
      </c>
      <c r="D4">
        <v>0.2</v>
      </c>
      <c r="E4" s="3" t="s">
        <v>5</v>
      </c>
      <c r="F4" t="s">
        <v>16</v>
      </c>
    </row>
    <row r="5" spans="1:6" hidden="1" x14ac:dyDescent="0.2">
      <c r="A5">
        <v>4.5999999999999996</v>
      </c>
      <c r="B5">
        <v>3.1</v>
      </c>
      <c r="C5">
        <v>1.5</v>
      </c>
      <c r="D5">
        <v>0.2</v>
      </c>
      <c r="E5" s="3" t="s">
        <v>5</v>
      </c>
      <c r="F5" t="s">
        <v>16</v>
      </c>
    </row>
    <row r="6" spans="1:6" hidden="1" x14ac:dyDescent="0.2">
      <c r="A6">
        <v>5</v>
      </c>
      <c r="B6">
        <v>3.6</v>
      </c>
      <c r="C6">
        <v>1.4</v>
      </c>
      <c r="D6">
        <v>0.2</v>
      </c>
      <c r="E6" s="3" t="s">
        <v>5</v>
      </c>
      <c r="F6" t="s">
        <v>16</v>
      </c>
    </row>
    <row r="7" spans="1:6" hidden="1" x14ac:dyDescent="0.2">
      <c r="A7">
        <v>5.4</v>
      </c>
      <c r="B7">
        <v>3.9</v>
      </c>
      <c r="C7">
        <v>1.7</v>
      </c>
      <c r="D7">
        <v>0.4</v>
      </c>
      <c r="E7" s="3" t="s">
        <v>5</v>
      </c>
      <c r="F7" t="s">
        <v>16</v>
      </c>
    </row>
    <row r="8" spans="1:6" hidden="1" x14ac:dyDescent="0.2">
      <c r="A8">
        <v>4.5999999999999996</v>
      </c>
      <c r="B8">
        <v>3.4</v>
      </c>
      <c r="C8">
        <v>1.4</v>
      </c>
      <c r="D8">
        <v>0.3</v>
      </c>
      <c r="E8" s="3" t="s">
        <v>5</v>
      </c>
      <c r="F8" t="s">
        <v>16</v>
      </c>
    </row>
    <row r="9" spans="1:6" hidden="1" x14ac:dyDescent="0.2">
      <c r="A9">
        <v>5.2</v>
      </c>
      <c r="B9">
        <v>2.7</v>
      </c>
      <c r="C9">
        <v>3.9</v>
      </c>
      <c r="D9">
        <v>1.4</v>
      </c>
      <c r="E9" s="3" t="s">
        <v>6</v>
      </c>
      <c r="F9" t="s">
        <v>17</v>
      </c>
    </row>
    <row r="10" spans="1:6" hidden="1" x14ac:dyDescent="0.2">
      <c r="A10">
        <v>5</v>
      </c>
      <c r="B10">
        <v>2</v>
      </c>
      <c r="C10">
        <v>3.5</v>
      </c>
      <c r="D10">
        <v>1</v>
      </c>
      <c r="E10" s="3" t="s">
        <v>6</v>
      </c>
      <c r="F10" t="s">
        <v>17</v>
      </c>
    </row>
    <row r="11" spans="1:6" hidden="1" x14ac:dyDescent="0.2">
      <c r="A11">
        <v>5.9</v>
      </c>
      <c r="B11">
        <v>3</v>
      </c>
      <c r="C11">
        <v>4.2</v>
      </c>
      <c r="D11">
        <v>1.5</v>
      </c>
      <c r="E11" s="3" t="s">
        <v>6</v>
      </c>
      <c r="F11" t="s">
        <v>17</v>
      </c>
    </row>
    <row r="12" spans="1:6" hidden="1" x14ac:dyDescent="0.2">
      <c r="A12">
        <v>6</v>
      </c>
      <c r="B12">
        <v>2.2000000000000002</v>
      </c>
      <c r="C12">
        <v>4</v>
      </c>
      <c r="D12">
        <v>1</v>
      </c>
      <c r="E12" s="3" t="s">
        <v>6</v>
      </c>
      <c r="F12" t="s">
        <v>17</v>
      </c>
    </row>
    <row r="13" spans="1:6" hidden="1" x14ac:dyDescent="0.2">
      <c r="A13">
        <v>6.1</v>
      </c>
      <c r="B13">
        <v>2.9</v>
      </c>
      <c r="C13">
        <v>4.7</v>
      </c>
      <c r="D13">
        <v>1.4</v>
      </c>
      <c r="E13" s="3" t="s">
        <v>6</v>
      </c>
      <c r="F13" t="s">
        <v>17</v>
      </c>
    </row>
    <row r="14" spans="1:6" hidden="1" x14ac:dyDescent="0.2">
      <c r="A14">
        <v>5.6</v>
      </c>
      <c r="B14">
        <v>2.9</v>
      </c>
      <c r="C14">
        <v>3.6</v>
      </c>
      <c r="D14">
        <v>1.3</v>
      </c>
      <c r="E14" s="3" t="s">
        <v>6</v>
      </c>
      <c r="F14" t="s">
        <v>17</v>
      </c>
    </row>
    <row r="15" spans="1:6" x14ac:dyDescent="0.2">
      <c r="A15">
        <v>6.7</v>
      </c>
      <c r="B15">
        <v>3.1</v>
      </c>
      <c r="C15">
        <v>4.4000000000000004</v>
      </c>
      <c r="D15">
        <v>1.4</v>
      </c>
      <c r="E15" s="3" t="s">
        <v>6</v>
      </c>
      <c r="F15" t="s">
        <v>18</v>
      </c>
    </row>
    <row r="16" spans="1:6" hidden="1" x14ac:dyDescent="0.2">
      <c r="A16">
        <v>5.8</v>
      </c>
      <c r="B16">
        <v>4</v>
      </c>
      <c r="C16">
        <v>1.2</v>
      </c>
      <c r="D16">
        <v>0.2</v>
      </c>
      <c r="E16" s="3" t="s">
        <v>5</v>
      </c>
      <c r="F16" t="s">
        <v>16</v>
      </c>
    </row>
    <row r="17" spans="1:6" hidden="1" x14ac:dyDescent="0.2">
      <c r="A17">
        <v>5.7</v>
      </c>
      <c r="B17">
        <v>4.4000000000000004</v>
      </c>
      <c r="C17">
        <v>1.5</v>
      </c>
      <c r="D17">
        <v>0.4</v>
      </c>
      <c r="E17" s="3" t="s">
        <v>5</v>
      </c>
      <c r="F17" t="s">
        <v>16</v>
      </c>
    </row>
    <row r="18" spans="1:6" hidden="1" x14ac:dyDescent="0.2">
      <c r="A18">
        <v>5.4</v>
      </c>
      <c r="B18">
        <v>3.9</v>
      </c>
      <c r="C18">
        <v>1.3</v>
      </c>
      <c r="D18">
        <v>0.4</v>
      </c>
      <c r="E18" s="3" t="s">
        <v>5</v>
      </c>
      <c r="F18" t="s">
        <v>16</v>
      </c>
    </row>
    <row r="19" spans="1:6" hidden="1" x14ac:dyDescent="0.2">
      <c r="A19">
        <v>5.0999999999999996</v>
      </c>
      <c r="B19">
        <v>3.5</v>
      </c>
      <c r="C19">
        <v>1.4</v>
      </c>
      <c r="D19">
        <v>0.3</v>
      </c>
      <c r="E19" s="3" t="s">
        <v>5</v>
      </c>
      <c r="F19" t="s">
        <v>16</v>
      </c>
    </row>
    <row r="20" spans="1:6" hidden="1" x14ac:dyDescent="0.2">
      <c r="A20">
        <v>5.7</v>
      </c>
      <c r="B20">
        <v>3.8</v>
      </c>
      <c r="C20">
        <v>1.7</v>
      </c>
      <c r="D20">
        <v>0.3</v>
      </c>
      <c r="E20" s="3" t="s">
        <v>5</v>
      </c>
      <c r="F20" t="s">
        <v>16</v>
      </c>
    </row>
    <row r="21" spans="1:6" hidden="1" x14ac:dyDescent="0.2">
      <c r="A21">
        <v>5.0999999999999996</v>
      </c>
      <c r="B21">
        <v>3.8</v>
      </c>
      <c r="C21">
        <v>1.5</v>
      </c>
      <c r="D21">
        <v>0.3</v>
      </c>
      <c r="E21" s="3" t="s">
        <v>5</v>
      </c>
      <c r="F21" t="s">
        <v>16</v>
      </c>
    </row>
    <row r="22" spans="1:6" hidden="1" x14ac:dyDescent="0.2">
      <c r="A22">
        <v>5.4</v>
      </c>
      <c r="B22">
        <v>3.4</v>
      </c>
      <c r="C22">
        <v>1.7</v>
      </c>
      <c r="D22">
        <v>0.2</v>
      </c>
      <c r="E22" s="3" t="s">
        <v>5</v>
      </c>
      <c r="F22" t="s">
        <v>16</v>
      </c>
    </row>
    <row r="23" spans="1:6" hidden="1" x14ac:dyDescent="0.2">
      <c r="A23">
        <v>5.0999999999999996</v>
      </c>
      <c r="B23">
        <v>3.7</v>
      </c>
      <c r="C23">
        <v>1.5</v>
      </c>
      <c r="D23">
        <v>0.4</v>
      </c>
      <c r="E23" s="3" t="s">
        <v>5</v>
      </c>
      <c r="F23" t="s">
        <v>16</v>
      </c>
    </row>
    <row r="24" spans="1:6" hidden="1" x14ac:dyDescent="0.2">
      <c r="A24">
        <v>4.5999999999999996</v>
      </c>
      <c r="B24">
        <v>3.6</v>
      </c>
      <c r="C24">
        <v>1</v>
      </c>
      <c r="D24">
        <v>0.2</v>
      </c>
      <c r="E24" s="3" t="s">
        <v>5</v>
      </c>
      <c r="F24" t="s">
        <v>16</v>
      </c>
    </row>
    <row r="25" spans="1:6" hidden="1" x14ac:dyDescent="0.2">
      <c r="A25">
        <v>5.0999999999999996</v>
      </c>
      <c r="B25">
        <v>3.3</v>
      </c>
      <c r="C25">
        <v>1.7</v>
      </c>
      <c r="D25">
        <v>0.5</v>
      </c>
      <c r="E25" s="3" t="s">
        <v>5</v>
      </c>
      <c r="F25" t="s">
        <v>16</v>
      </c>
    </row>
    <row r="26" spans="1:6" hidden="1" x14ac:dyDescent="0.2">
      <c r="A26">
        <v>4.8</v>
      </c>
      <c r="B26">
        <v>3.4</v>
      </c>
      <c r="C26">
        <v>1.9</v>
      </c>
      <c r="D26">
        <v>0.2</v>
      </c>
      <c r="E26" s="3" t="s">
        <v>5</v>
      </c>
      <c r="F26" t="s">
        <v>16</v>
      </c>
    </row>
    <row r="27" spans="1:6" hidden="1" x14ac:dyDescent="0.2">
      <c r="A27">
        <v>5</v>
      </c>
      <c r="B27">
        <v>3.2</v>
      </c>
      <c r="C27">
        <v>1.2</v>
      </c>
      <c r="D27">
        <v>0.2</v>
      </c>
      <c r="E27" s="3" t="s">
        <v>5</v>
      </c>
      <c r="F27" t="s">
        <v>16</v>
      </c>
    </row>
    <row r="28" spans="1:6" hidden="1" x14ac:dyDescent="0.2">
      <c r="A28">
        <v>5.5</v>
      </c>
      <c r="B28">
        <v>3.5</v>
      </c>
      <c r="C28">
        <v>1.3</v>
      </c>
      <c r="D28">
        <v>0.2</v>
      </c>
      <c r="E28" s="3" t="s">
        <v>5</v>
      </c>
      <c r="F28" t="s">
        <v>16</v>
      </c>
    </row>
    <row r="29" spans="1:6" hidden="1" x14ac:dyDescent="0.2">
      <c r="A29">
        <v>4.9000000000000004</v>
      </c>
      <c r="B29">
        <v>3.1</v>
      </c>
      <c r="C29">
        <v>1.5</v>
      </c>
      <c r="D29">
        <v>0.1</v>
      </c>
      <c r="E29" s="3" t="s">
        <v>5</v>
      </c>
      <c r="F29" t="s">
        <v>16</v>
      </c>
    </row>
    <row r="30" spans="1:6" hidden="1" x14ac:dyDescent="0.2">
      <c r="A30">
        <v>4.4000000000000004</v>
      </c>
      <c r="B30">
        <v>3</v>
      </c>
      <c r="C30">
        <v>1.3</v>
      </c>
      <c r="D30">
        <v>0.2</v>
      </c>
      <c r="E30" s="3" t="s">
        <v>5</v>
      </c>
      <c r="F30" t="s">
        <v>16</v>
      </c>
    </row>
    <row r="31" spans="1:6" hidden="1" x14ac:dyDescent="0.2">
      <c r="A31">
        <v>5.0999999999999996</v>
      </c>
      <c r="B31">
        <v>3.4</v>
      </c>
      <c r="C31">
        <v>1.5</v>
      </c>
      <c r="D31">
        <v>0.2</v>
      </c>
      <c r="E31" s="3" t="s">
        <v>5</v>
      </c>
      <c r="F31" t="s">
        <v>16</v>
      </c>
    </row>
    <row r="32" spans="1:6" hidden="1" x14ac:dyDescent="0.2">
      <c r="A32">
        <v>5</v>
      </c>
      <c r="B32">
        <v>3.5</v>
      </c>
      <c r="C32">
        <v>1.3</v>
      </c>
      <c r="D32">
        <v>0.3</v>
      </c>
      <c r="E32" s="3" t="s">
        <v>5</v>
      </c>
      <c r="F32" t="s">
        <v>16</v>
      </c>
    </row>
    <row r="33" spans="1:6" hidden="1" x14ac:dyDescent="0.2">
      <c r="A33">
        <v>4.5</v>
      </c>
      <c r="B33">
        <v>2.2999999999999998</v>
      </c>
      <c r="C33">
        <v>1.3</v>
      </c>
      <c r="D33">
        <v>0.3</v>
      </c>
      <c r="E33" s="3" t="s">
        <v>5</v>
      </c>
      <c r="F33" t="s">
        <v>16</v>
      </c>
    </row>
    <row r="34" spans="1:6" hidden="1" x14ac:dyDescent="0.2">
      <c r="A34">
        <v>4.4000000000000004</v>
      </c>
      <c r="B34">
        <v>3.2</v>
      </c>
      <c r="C34">
        <v>1.3</v>
      </c>
      <c r="D34">
        <v>0.2</v>
      </c>
      <c r="E34" s="3" t="s">
        <v>5</v>
      </c>
      <c r="F34" t="s">
        <v>16</v>
      </c>
    </row>
    <row r="35" spans="1:6" hidden="1" x14ac:dyDescent="0.2">
      <c r="A35">
        <v>5</v>
      </c>
      <c r="B35">
        <v>3.5</v>
      </c>
      <c r="C35">
        <v>1.6</v>
      </c>
      <c r="D35">
        <v>0.6</v>
      </c>
      <c r="E35" s="3" t="s">
        <v>5</v>
      </c>
      <c r="F35" t="s">
        <v>16</v>
      </c>
    </row>
    <row r="36" spans="1:6" hidden="1" x14ac:dyDescent="0.2">
      <c r="A36">
        <v>5.0999999999999996</v>
      </c>
      <c r="B36">
        <v>3.8</v>
      </c>
      <c r="C36">
        <v>1.9</v>
      </c>
      <c r="D36">
        <v>0.4</v>
      </c>
      <c r="E36" s="3" t="s">
        <v>5</v>
      </c>
      <c r="F36" t="s">
        <v>16</v>
      </c>
    </row>
    <row r="37" spans="1:6" hidden="1" x14ac:dyDescent="0.2">
      <c r="A37">
        <v>4.8</v>
      </c>
      <c r="B37">
        <v>3</v>
      </c>
      <c r="C37">
        <v>1.4</v>
      </c>
      <c r="D37">
        <v>0.3</v>
      </c>
      <c r="E37" s="3" t="s">
        <v>5</v>
      </c>
      <c r="F37" t="s">
        <v>16</v>
      </c>
    </row>
    <row r="38" spans="1:6" hidden="1" x14ac:dyDescent="0.2">
      <c r="A38">
        <v>5.0999999999999996</v>
      </c>
      <c r="B38">
        <v>3.8</v>
      </c>
      <c r="C38">
        <v>1.6</v>
      </c>
      <c r="D38">
        <v>0.2</v>
      </c>
      <c r="E38" s="3" t="s">
        <v>5</v>
      </c>
      <c r="F38" t="s">
        <v>16</v>
      </c>
    </row>
    <row r="39" spans="1:6" hidden="1" x14ac:dyDescent="0.2">
      <c r="A39">
        <v>4.5999999999999996</v>
      </c>
      <c r="B39">
        <v>3.2</v>
      </c>
      <c r="C39">
        <v>1.4</v>
      </c>
      <c r="D39">
        <v>0.2</v>
      </c>
      <c r="E39" s="3" t="s">
        <v>5</v>
      </c>
      <c r="F39" t="s">
        <v>16</v>
      </c>
    </row>
    <row r="40" spans="1:6" hidden="1" x14ac:dyDescent="0.2">
      <c r="A40">
        <v>5.3</v>
      </c>
      <c r="B40">
        <v>3.7</v>
      </c>
      <c r="C40">
        <v>1.5</v>
      </c>
      <c r="D40">
        <v>0.2</v>
      </c>
      <c r="E40" s="3" t="s">
        <v>5</v>
      </c>
      <c r="F40" t="s">
        <v>16</v>
      </c>
    </row>
    <row r="41" spans="1:6" hidden="1" x14ac:dyDescent="0.2">
      <c r="A41">
        <v>5</v>
      </c>
      <c r="B41">
        <v>3.3</v>
      </c>
      <c r="C41">
        <v>1.4</v>
      </c>
      <c r="D41">
        <v>0.2</v>
      </c>
      <c r="E41" s="3" t="s">
        <v>5</v>
      </c>
      <c r="F41" t="s">
        <v>16</v>
      </c>
    </row>
    <row r="42" spans="1:6" x14ac:dyDescent="0.2">
      <c r="A42">
        <v>7</v>
      </c>
      <c r="B42">
        <v>3.2</v>
      </c>
      <c r="C42">
        <v>4.7</v>
      </c>
      <c r="D42">
        <v>1.4</v>
      </c>
      <c r="E42" s="3" t="s">
        <v>6</v>
      </c>
      <c r="F42" t="s">
        <v>18</v>
      </c>
    </row>
    <row r="43" spans="1:6" x14ac:dyDescent="0.2">
      <c r="A43">
        <v>6.4</v>
      </c>
      <c r="B43">
        <v>3.2</v>
      </c>
      <c r="C43">
        <v>4.5</v>
      </c>
      <c r="D43">
        <v>1.5</v>
      </c>
      <c r="E43" s="3" t="s">
        <v>6</v>
      </c>
      <c r="F43" t="s">
        <v>18</v>
      </c>
    </row>
    <row r="44" spans="1:6" x14ac:dyDescent="0.2">
      <c r="A44">
        <v>6.9</v>
      </c>
      <c r="B44">
        <v>3.1</v>
      </c>
      <c r="C44">
        <v>4.9000000000000004</v>
      </c>
      <c r="D44">
        <v>1.5</v>
      </c>
      <c r="E44" s="3" t="s">
        <v>6</v>
      </c>
      <c r="F44" t="s">
        <v>18</v>
      </c>
    </row>
    <row r="45" spans="1:6" hidden="1" x14ac:dyDescent="0.2">
      <c r="A45">
        <v>5.5</v>
      </c>
      <c r="B45">
        <v>2.2999999999999998</v>
      </c>
      <c r="C45">
        <v>4</v>
      </c>
      <c r="D45">
        <v>1.3</v>
      </c>
      <c r="E45" s="3" t="s">
        <v>6</v>
      </c>
      <c r="F45" t="s">
        <v>17</v>
      </c>
    </row>
    <row r="46" spans="1:6" x14ac:dyDescent="0.2">
      <c r="A46">
        <v>6.5</v>
      </c>
      <c r="B46">
        <v>2.8</v>
      </c>
      <c r="C46">
        <v>4.5999999999999996</v>
      </c>
      <c r="D46">
        <v>1.5</v>
      </c>
      <c r="E46" s="3" t="s">
        <v>6</v>
      </c>
      <c r="F46" t="s">
        <v>18</v>
      </c>
    </row>
    <row r="47" spans="1:6" hidden="1" x14ac:dyDescent="0.2">
      <c r="A47">
        <v>5.7</v>
      </c>
      <c r="B47">
        <v>2.8</v>
      </c>
      <c r="C47">
        <v>4.5</v>
      </c>
      <c r="D47">
        <v>1.3</v>
      </c>
      <c r="E47" s="3" t="s">
        <v>6</v>
      </c>
      <c r="F47" t="s">
        <v>17</v>
      </c>
    </row>
    <row r="48" spans="1:6" x14ac:dyDescent="0.2">
      <c r="A48">
        <v>6.3</v>
      </c>
      <c r="B48">
        <v>3.3</v>
      </c>
      <c r="C48">
        <v>4.7</v>
      </c>
      <c r="D48">
        <v>1.6</v>
      </c>
      <c r="E48" s="3" t="s">
        <v>6</v>
      </c>
      <c r="F48" t="s">
        <v>18</v>
      </c>
    </row>
    <row r="49" spans="1:6" hidden="1" x14ac:dyDescent="0.2">
      <c r="A49">
        <v>4.9000000000000004</v>
      </c>
      <c r="B49">
        <v>2.4</v>
      </c>
      <c r="C49">
        <v>3.3</v>
      </c>
      <c r="D49">
        <v>1</v>
      </c>
      <c r="E49" s="3" t="s">
        <v>6</v>
      </c>
      <c r="F49" t="s">
        <v>17</v>
      </c>
    </row>
    <row r="50" spans="1:6" x14ac:dyDescent="0.2">
      <c r="A50">
        <v>6.6</v>
      </c>
      <c r="B50">
        <v>2.9</v>
      </c>
      <c r="C50">
        <v>4.5999999999999996</v>
      </c>
      <c r="D50">
        <v>1.3</v>
      </c>
      <c r="E50" s="3" t="s">
        <v>6</v>
      </c>
      <c r="F50" t="s">
        <v>18</v>
      </c>
    </row>
    <row r="51" spans="1:6" hidden="1" x14ac:dyDescent="0.2">
      <c r="A51">
        <v>4.9000000000000004</v>
      </c>
      <c r="B51">
        <v>2.5</v>
      </c>
      <c r="C51">
        <v>4.5</v>
      </c>
      <c r="D51">
        <v>1.7</v>
      </c>
      <c r="E51" s="3" t="s">
        <v>7</v>
      </c>
      <c r="F51" t="s">
        <v>17</v>
      </c>
    </row>
    <row r="52" spans="1:6" x14ac:dyDescent="0.2">
      <c r="A52">
        <v>7.3</v>
      </c>
      <c r="B52">
        <v>2.9</v>
      </c>
      <c r="C52">
        <v>6.3</v>
      </c>
      <c r="D52">
        <v>1.8</v>
      </c>
      <c r="E52" s="3" t="s">
        <v>7</v>
      </c>
      <c r="F52" t="s">
        <v>18</v>
      </c>
    </row>
    <row r="53" spans="1:6" x14ac:dyDescent="0.2">
      <c r="A53">
        <v>6.7</v>
      </c>
      <c r="B53">
        <v>2.5</v>
      </c>
      <c r="C53">
        <v>5.8</v>
      </c>
      <c r="D53">
        <v>1.8</v>
      </c>
      <c r="E53" s="3" t="s">
        <v>7</v>
      </c>
      <c r="F53" t="s">
        <v>18</v>
      </c>
    </row>
    <row r="54" spans="1:6" x14ac:dyDescent="0.2">
      <c r="A54">
        <v>7.2</v>
      </c>
      <c r="B54">
        <v>3.6</v>
      </c>
      <c r="C54">
        <v>6.1</v>
      </c>
      <c r="D54">
        <v>2.5</v>
      </c>
      <c r="E54" s="3" t="s">
        <v>7</v>
      </c>
      <c r="F54" t="s">
        <v>18</v>
      </c>
    </row>
    <row r="55" spans="1:6" x14ac:dyDescent="0.2">
      <c r="A55">
        <v>6.5</v>
      </c>
      <c r="B55">
        <v>3.2</v>
      </c>
      <c r="C55">
        <v>5.0999999999999996</v>
      </c>
      <c r="D55">
        <v>2</v>
      </c>
      <c r="E55" s="3" t="s">
        <v>7</v>
      </c>
      <c r="F55" t="s">
        <v>18</v>
      </c>
    </row>
    <row r="56" spans="1:6" x14ac:dyDescent="0.2">
      <c r="A56">
        <v>6.4</v>
      </c>
      <c r="B56">
        <v>2.7</v>
      </c>
      <c r="C56">
        <v>5.3</v>
      </c>
      <c r="D56">
        <v>1.9</v>
      </c>
      <c r="E56" s="3" t="s">
        <v>7</v>
      </c>
      <c r="F56" t="s">
        <v>18</v>
      </c>
    </row>
    <row r="57" spans="1:6" x14ac:dyDescent="0.2">
      <c r="A57">
        <v>6.8</v>
      </c>
      <c r="B57">
        <v>3</v>
      </c>
      <c r="C57">
        <v>5.5</v>
      </c>
      <c r="D57">
        <v>2.1</v>
      </c>
      <c r="E57" s="3" t="s">
        <v>7</v>
      </c>
      <c r="F57" t="s">
        <v>18</v>
      </c>
    </row>
    <row r="58" spans="1:6" hidden="1" x14ac:dyDescent="0.2">
      <c r="A58">
        <v>5.6</v>
      </c>
      <c r="B58">
        <v>3</v>
      </c>
      <c r="C58">
        <v>4.5</v>
      </c>
      <c r="D58">
        <v>1.5</v>
      </c>
      <c r="E58" s="3" t="s">
        <v>6</v>
      </c>
      <c r="F58" t="s">
        <v>17</v>
      </c>
    </row>
    <row r="59" spans="1:6" hidden="1" x14ac:dyDescent="0.2">
      <c r="A59">
        <v>5.8</v>
      </c>
      <c r="B59">
        <v>2.7</v>
      </c>
      <c r="C59">
        <v>4.0999999999999996</v>
      </c>
      <c r="D59">
        <v>1</v>
      </c>
      <c r="E59" s="3" t="s">
        <v>6</v>
      </c>
      <c r="F59" t="s">
        <v>17</v>
      </c>
    </row>
    <row r="60" spans="1:6" hidden="1" x14ac:dyDescent="0.2">
      <c r="A60">
        <v>6.2</v>
      </c>
      <c r="B60">
        <v>2.2000000000000002</v>
      </c>
      <c r="C60">
        <v>4.5</v>
      </c>
      <c r="D60">
        <v>1.5</v>
      </c>
      <c r="E60" s="3" t="s">
        <v>6</v>
      </c>
      <c r="F60" t="s">
        <v>17</v>
      </c>
    </row>
    <row r="61" spans="1:6" hidden="1" x14ac:dyDescent="0.2">
      <c r="A61">
        <v>5.6</v>
      </c>
      <c r="B61">
        <v>2.5</v>
      </c>
      <c r="C61">
        <v>3.9</v>
      </c>
      <c r="D61">
        <v>1.1000000000000001</v>
      </c>
      <c r="E61" s="3" t="s">
        <v>6</v>
      </c>
      <c r="F61" t="s">
        <v>17</v>
      </c>
    </row>
    <row r="62" spans="1:6" x14ac:dyDescent="0.2">
      <c r="A62">
        <v>5.9</v>
      </c>
      <c r="B62">
        <v>3.2</v>
      </c>
      <c r="C62">
        <v>4.8</v>
      </c>
      <c r="D62">
        <v>1.8</v>
      </c>
      <c r="E62" s="3" t="s">
        <v>6</v>
      </c>
      <c r="F62" t="s">
        <v>18</v>
      </c>
    </row>
    <row r="63" spans="1:6" hidden="1" x14ac:dyDescent="0.2">
      <c r="A63">
        <v>6.1</v>
      </c>
      <c r="B63">
        <v>2.8</v>
      </c>
      <c r="C63">
        <v>4</v>
      </c>
      <c r="D63">
        <v>1.3</v>
      </c>
      <c r="E63" s="3" t="s">
        <v>6</v>
      </c>
      <c r="F63" t="s">
        <v>17</v>
      </c>
    </row>
    <row r="64" spans="1:6" x14ac:dyDescent="0.2">
      <c r="A64">
        <v>6.3</v>
      </c>
      <c r="B64">
        <v>2.5</v>
      </c>
      <c r="C64">
        <v>4.9000000000000004</v>
      </c>
      <c r="D64">
        <v>1.5</v>
      </c>
      <c r="E64" s="3" t="s">
        <v>6</v>
      </c>
      <c r="F64" t="s">
        <v>18</v>
      </c>
    </row>
    <row r="65" spans="1:6" hidden="1" x14ac:dyDescent="0.2">
      <c r="A65">
        <v>6.1</v>
      </c>
      <c r="B65">
        <v>2.8</v>
      </c>
      <c r="C65">
        <v>4.7</v>
      </c>
      <c r="D65">
        <v>1.2</v>
      </c>
      <c r="E65" s="3" t="s">
        <v>6</v>
      </c>
      <c r="F65" t="s">
        <v>17</v>
      </c>
    </row>
    <row r="66" spans="1:6" hidden="1" x14ac:dyDescent="0.2">
      <c r="A66">
        <v>6.4</v>
      </c>
      <c r="B66">
        <v>2.9</v>
      </c>
      <c r="C66">
        <v>4.3</v>
      </c>
      <c r="D66">
        <v>1.3</v>
      </c>
      <c r="E66" s="3" t="s">
        <v>6</v>
      </c>
      <c r="F66" t="s">
        <v>17</v>
      </c>
    </row>
    <row r="67" spans="1:6" x14ac:dyDescent="0.2">
      <c r="A67">
        <v>6.6</v>
      </c>
      <c r="B67">
        <v>3</v>
      </c>
      <c r="C67">
        <v>4.4000000000000004</v>
      </c>
      <c r="D67">
        <v>1.4</v>
      </c>
      <c r="E67" s="3" t="s">
        <v>6</v>
      </c>
      <c r="F67" t="s">
        <v>18</v>
      </c>
    </row>
    <row r="68" spans="1:6" x14ac:dyDescent="0.2">
      <c r="A68">
        <v>6.8</v>
      </c>
      <c r="B68">
        <v>2.8</v>
      </c>
      <c r="C68">
        <v>4.8</v>
      </c>
      <c r="D68">
        <v>1.4</v>
      </c>
      <c r="E68" s="3" t="s">
        <v>6</v>
      </c>
      <c r="F68" t="s">
        <v>18</v>
      </c>
    </row>
    <row r="69" spans="1:6" x14ac:dyDescent="0.2">
      <c r="A69">
        <v>6.7</v>
      </c>
      <c r="B69">
        <v>3</v>
      </c>
      <c r="C69">
        <v>5</v>
      </c>
      <c r="D69">
        <v>1.7</v>
      </c>
      <c r="E69" s="3" t="s">
        <v>6</v>
      </c>
      <c r="F69" t="s">
        <v>18</v>
      </c>
    </row>
    <row r="70" spans="1:6" hidden="1" x14ac:dyDescent="0.2">
      <c r="A70">
        <v>6</v>
      </c>
      <c r="B70">
        <v>2.9</v>
      </c>
      <c r="C70">
        <v>4.5</v>
      </c>
      <c r="D70">
        <v>1.5</v>
      </c>
      <c r="E70" s="3" t="s">
        <v>6</v>
      </c>
      <c r="F70" t="s">
        <v>17</v>
      </c>
    </row>
    <row r="71" spans="1:6" hidden="1" x14ac:dyDescent="0.2">
      <c r="A71">
        <v>5.7</v>
      </c>
      <c r="B71">
        <v>2.6</v>
      </c>
      <c r="C71">
        <v>3.5</v>
      </c>
      <c r="D71">
        <v>1</v>
      </c>
      <c r="E71" s="3" t="s">
        <v>6</v>
      </c>
      <c r="F71" t="s">
        <v>17</v>
      </c>
    </row>
    <row r="72" spans="1:6" hidden="1" x14ac:dyDescent="0.2">
      <c r="A72">
        <v>5.5</v>
      </c>
      <c r="B72">
        <v>2.6</v>
      </c>
      <c r="C72">
        <v>4.4000000000000004</v>
      </c>
      <c r="D72">
        <v>1.2</v>
      </c>
      <c r="E72" s="3" t="s">
        <v>6</v>
      </c>
      <c r="F72" t="s">
        <v>17</v>
      </c>
    </row>
    <row r="73" spans="1:6" hidden="1" x14ac:dyDescent="0.2">
      <c r="A73">
        <v>6.1</v>
      </c>
      <c r="B73">
        <v>3</v>
      </c>
      <c r="C73">
        <v>4.5999999999999996</v>
      </c>
      <c r="D73">
        <v>1.4</v>
      </c>
      <c r="E73" s="3" t="s">
        <v>6</v>
      </c>
      <c r="F73" t="s">
        <v>17</v>
      </c>
    </row>
    <row r="74" spans="1:6" hidden="1" x14ac:dyDescent="0.2">
      <c r="A74">
        <v>5.8</v>
      </c>
      <c r="B74">
        <v>2.6</v>
      </c>
      <c r="C74">
        <v>4</v>
      </c>
      <c r="D74">
        <v>1.2</v>
      </c>
      <c r="E74" s="3" t="s">
        <v>6</v>
      </c>
      <c r="F74" t="s">
        <v>17</v>
      </c>
    </row>
    <row r="75" spans="1:6" hidden="1" x14ac:dyDescent="0.2">
      <c r="A75">
        <v>5</v>
      </c>
      <c r="B75">
        <v>2.2999999999999998</v>
      </c>
      <c r="C75">
        <v>3.3</v>
      </c>
      <c r="D75">
        <v>1</v>
      </c>
      <c r="E75" s="3" t="s">
        <v>6</v>
      </c>
      <c r="F75" t="s">
        <v>17</v>
      </c>
    </row>
    <row r="76" spans="1:6" hidden="1" x14ac:dyDescent="0.2">
      <c r="A76">
        <v>5.6</v>
      </c>
      <c r="B76">
        <v>2.7</v>
      </c>
      <c r="C76">
        <v>4.2</v>
      </c>
      <c r="D76">
        <v>1.3</v>
      </c>
      <c r="E76" s="3" t="s">
        <v>6</v>
      </c>
      <c r="F76" t="s">
        <v>17</v>
      </c>
    </row>
    <row r="77" spans="1:6" hidden="1" x14ac:dyDescent="0.2">
      <c r="A77">
        <v>5.7</v>
      </c>
      <c r="B77">
        <v>3</v>
      </c>
      <c r="C77">
        <v>4.2</v>
      </c>
      <c r="D77">
        <v>1.2</v>
      </c>
      <c r="E77" s="3" t="s">
        <v>6</v>
      </c>
      <c r="F77" t="s">
        <v>17</v>
      </c>
    </row>
    <row r="78" spans="1:6" hidden="1" x14ac:dyDescent="0.2">
      <c r="A78">
        <v>5.7</v>
      </c>
      <c r="B78">
        <v>2.9</v>
      </c>
      <c r="C78">
        <v>4.2</v>
      </c>
      <c r="D78">
        <v>1.3</v>
      </c>
      <c r="E78" s="3" t="s">
        <v>6</v>
      </c>
      <c r="F78" t="s">
        <v>17</v>
      </c>
    </row>
    <row r="79" spans="1:6" hidden="1" x14ac:dyDescent="0.2">
      <c r="A79">
        <v>6.2</v>
      </c>
      <c r="B79">
        <v>2.9</v>
      </c>
      <c r="C79">
        <v>4.3</v>
      </c>
      <c r="D79">
        <v>1.3</v>
      </c>
      <c r="E79" s="3" t="s">
        <v>6</v>
      </c>
      <c r="F79" t="s">
        <v>17</v>
      </c>
    </row>
    <row r="80" spans="1:6" hidden="1" x14ac:dyDescent="0.2">
      <c r="A80">
        <v>5.0999999999999996</v>
      </c>
      <c r="B80">
        <v>2.5</v>
      </c>
      <c r="C80">
        <v>3</v>
      </c>
      <c r="D80">
        <v>1.1000000000000001</v>
      </c>
      <c r="E80" s="3" t="s">
        <v>6</v>
      </c>
      <c r="F80" t="s">
        <v>17</v>
      </c>
    </row>
    <row r="81" spans="1:6" hidden="1" x14ac:dyDescent="0.2">
      <c r="A81">
        <v>5.7</v>
      </c>
      <c r="B81">
        <v>2.8</v>
      </c>
      <c r="C81">
        <v>4.0999999999999996</v>
      </c>
      <c r="D81">
        <v>1.3</v>
      </c>
      <c r="E81" s="3" t="s">
        <v>6</v>
      </c>
      <c r="F81" t="s">
        <v>17</v>
      </c>
    </row>
    <row r="82" spans="1:6" x14ac:dyDescent="0.2">
      <c r="A82">
        <v>6.3</v>
      </c>
      <c r="B82">
        <v>3.3</v>
      </c>
      <c r="C82">
        <v>6</v>
      </c>
      <c r="D82">
        <v>2.5</v>
      </c>
      <c r="E82" s="3" t="s">
        <v>7</v>
      </c>
      <c r="F82" t="s">
        <v>18</v>
      </c>
    </row>
    <row r="83" spans="1:6" x14ac:dyDescent="0.2">
      <c r="A83">
        <v>5.8</v>
      </c>
      <c r="B83">
        <v>2.7</v>
      </c>
      <c r="C83">
        <v>5.0999999999999996</v>
      </c>
      <c r="D83">
        <v>1.9</v>
      </c>
      <c r="E83" s="3" t="s">
        <v>7</v>
      </c>
      <c r="F83" t="s">
        <v>18</v>
      </c>
    </row>
    <row r="84" spans="1:6" x14ac:dyDescent="0.2">
      <c r="A84">
        <v>7.1</v>
      </c>
      <c r="B84">
        <v>3</v>
      </c>
      <c r="C84">
        <v>5.9</v>
      </c>
      <c r="D84">
        <v>2.1</v>
      </c>
      <c r="E84" s="3" t="s">
        <v>7</v>
      </c>
      <c r="F84" t="s">
        <v>18</v>
      </c>
    </row>
    <row r="85" spans="1:6" x14ac:dyDescent="0.2">
      <c r="A85">
        <v>6.3</v>
      </c>
      <c r="B85">
        <v>2.9</v>
      </c>
      <c r="C85">
        <v>5.6</v>
      </c>
      <c r="D85">
        <v>1.8</v>
      </c>
      <c r="E85" s="3" t="s">
        <v>7</v>
      </c>
      <c r="F85" t="s">
        <v>18</v>
      </c>
    </row>
    <row r="86" spans="1:6" x14ac:dyDescent="0.2">
      <c r="A86">
        <v>6.5</v>
      </c>
      <c r="B86">
        <v>3</v>
      </c>
      <c r="C86">
        <v>5.8</v>
      </c>
      <c r="D86">
        <v>2.2000000000000002</v>
      </c>
      <c r="E86" s="3" t="s">
        <v>7</v>
      </c>
      <c r="F86" t="s">
        <v>18</v>
      </c>
    </row>
    <row r="87" spans="1:6" x14ac:dyDescent="0.2">
      <c r="A87">
        <v>7.6</v>
      </c>
      <c r="B87">
        <v>3</v>
      </c>
      <c r="C87">
        <v>6.6</v>
      </c>
      <c r="D87">
        <v>2.1</v>
      </c>
      <c r="E87" s="3" t="s">
        <v>7</v>
      </c>
      <c r="F87" t="s">
        <v>18</v>
      </c>
    </row>
    <row r="88" spans="1:6" hidden="1" x14ac:dyDescent="0.2">
      <c r="A88">
        <v>5</v>
      </c>
      <c r="B88">
        <v>3.4</v>
      </c>
      <c r="C88">
        <v>1.5</v>
      </c>
      <c r="D88">
        <v>0.2</v>
      </c>
      <c r="E88" s="3" t="s">
        <v>5</v>
      </c>
      <c r="F88" t="s">
        <v>16</v>
      </c>
    </row>
    <row r="89" spans="1:6" hidden="1" x14ac:dyDescent="0.2">
      <c r="A89">
        <v>4.4000000000000004</v>
      </c>
      <c r="B89">
        <v>2.9</v>
      </c>
      <c r="C89">
        <v>1.4</v>
      </c>
      <c r="D89">
        <v>0.2</v>
      </c>
      <c r="E89" s="3" t="s">
        <v>5</v>
      </c>
      <c r="F89" t="s">
        <v>16</v>
      </c>
    </row>
    <row r="90" spans="1:6" hidden="1" x14ac:dyDescent="0.2">
      <c r="A90">
        <v>4.9000000000000004</v>
      </c>
      <c r="B90">
        <v>3.1</v>
      </c>
      <c r="C90">
        <v>1.5</v>
      </c>
      <c r="D90">
        <v>0.1</v>
      </c>
      <c r="E90" s="3" t="s">
        <v>5</v>
      </c>
      <c r="F90" t="s">
        <v>16</v>
      </c>
    </row>
    <row r="91" spans="1:6" hidden="1" x14ac:dyDescent="0.2">
      <c r="A91">
        <v>5.4</v>
      </c>
      <c r="B91">
        <v>3.7</v>
      </c>
      <c r="C91">
        <v>1.5</v>
      </c>
      <c r="D91">
        <v>0.2</v>
      </c>
      <c r="E91" s="3" t="s">
        <v>5</v>
      </c>
      <c r="F91" t="s">
        <v>16</v>
      </c>
    </row>
    <row r="92" spans="1:6" hidden="1" x14ac:dyDescent="0.2">
      <c r="A92">
        <v>4.8</v>
      </c>
      <c r="B92">
        <v>3.4</v>
      </c>
      <c r="C92">
        <v>1.6</v>
      </c>
      <c r="D92">
        <v>0.2</v>
      </c>
      <c r="E92" s="3" t="s">
        <v>5</v>
      </c>
      <c r="F92" t="s">
        <v>16</v>
      </c>
    </row>
    <row r="93" spans="1:6" hidden="1" x14ac:dyDescent="0.2">
      <c r="A93">
        <v>4.8</v>
      </c>
      <c r="B93">
        <v>3</v>
      </c>
      <c r="C93">
        <v>1.4</v>
      </c>
      <c r="D93">
        <v>0.1</v>
      </c>
      <c r="E93" s="3" t="s">
        <v>5</v>
      </c>
      <c r="F93" t="s">
        <v>16</v>
      </c>
    </row>
    <row r="94" spans="1:6" hidden="1" x14ac:dyDescent="0.2">
      <c r="A94">
        <v>4.3</v>
      </c>
      <c r="B94">
        <v>3</v>
      </c>
      <c r="C94">
        <v>1.1000000000000001</v>
      </c>
      <c r="D94">
        <v>0.1</v>
      </c>
      <c r="E94" s="3" t="s">
        <v>5</v>
      </c>
      <c r="F94" t="s">
        <v>16</v>
      </c>
    </row>
    <row r="95" spans="1:6" x14ac:dyDescent="0.2">
      <c r="A95">
        <v>5.7</v>
      </c>
      <c r="B95">
        <v>2.5</v>
      </c>
      <c r="C95">
        <v>5</v>
      </c>
      <c r="D95">
        <v>2</v>
      </c>
      <c r="E95" s="3" t="s">
        <v>7</v>
      </c>
      <c r="F95" t="s">
        <v>18</v>
      </c>
    </row>
    <row r="96" spans="1:6" x14ac:dyDescent="0.2">
      <c r="A96">
        <v>5.8</v>
      </c>
      <c r="B96">
        <v>2.8</v>
      </c>
      <c r="C96">
        <v>5.0999999999999996</v>
      </c>
      <c r="D96">
        <v>2.4</v>
      </c>
      <c r="E96" s="3" t="s">
        <v>7</v>
      </c>
      <c r="F96" t="s">
        <v>18</v>
      </c>
    </row>
    <row r="97" spans="1:6" x14ac:dyDescent="0.2">
      <c r="A97">
        <v>6.4</v>
      </c>
      <c r="B97">
        <v>3.2</v>
      </c>
      <c r="C97">
        <v>5.3</v>
      </c>
      <c r="D97">
        <v>2.2999999999999998</v>
      </c>
      <c r="E97" s="3" t="s">
        <v>7</v>
      </c>
      <c r="F97" t="s">
        <v>18</v>
      </c>
    </row>
    <row r="98" spans="1:6" x14ac:dyDescent="0.2">
      <c r="A98">
        <v>6.5</v>
      </c>
      <c r="B98">
        <v>3</v>
      </c>
      <c r="C98">
        <v>5.5</v>
      </c>
      <c r="D98">
        <v>1.8</v>
      </c>
      <c r="E98" s="3" t="s">
        <v>7</v>
      </c>
      <c r="F98" t="s">
        <v>18</v>
      </c>
    </row>
    <row r="99" spans="1:6" x14ac:dyDescent="0.2">
      <c r="A99">
        <v>7.7</v>
      </c>
      <c r="B99">
        <v>3.8</v>
      </c>
      <c r="C99">
        <v>6.7</v>
      </c>
      <c r="D99">
        <v>2.2000000000000002</v>
      </c>
      <c r="E99" s="3" t="s">
        <v>7</v>
      </c>
      <c r="F99" t="s">
        <v>18</v>
      </c>
    </row>
    <row r="100" spans="1:6" x14ac:dyDescent="0.2">
      <c r="A100">
        <v>7.7</v>
      </c>
      <c r="B100">
        <v>2.6</v>
      </c>
      <c r="C100">
        <v>6.9</v>
      </c>
      <c r="D100">
        <v>2.2999999999999998</v>
      </c>
      <c r="E100" s="3" t="s">
        <v>7</v>
      </c>
      <c r="F100" t="s">
        <v>18</v>
      </c>
    </row>
    <row r="101" spans="1:6" x14ac:dyDescent="0.2">
      <c r="A101">
        <v>6</v>
      </c>
      <c r="B101">
        <v>2.2000000000000002</v>
      </c>
      <c r="C101">
        <v>5</v>
      </c>
      <c r="D101">
        <v>1.5</v>
      </c>
      <c r="E101" s="3" t="s">
        <v>7</v>
      </c>
      <c r="F101" t="s">
        <v>18</v>
      </c>
    </row>
    <row r="102" spans="1:6" x14ac:dyDescent="0.2">
      <c r="A102">
        <v>6.9</v>
      </c>
      <c r="B102">
        <v>3.2</v>
      </c>
      <c r="C102">
        <v>5.7</v>
      </c>
      <c r="D102">
        <v>2.2999999999999998</v>
      </c>
      <c r="E102" s="3" t="s">
        <v>7</v>
      </c>
      <c r="F102" t="s">
        <v>18</v>
      </c>
    </row>
    <row r="103" spans="1:6" x14ac:dyDescent="0.2">
      <c r="A103">
        <v>5.6</v>
      </c>
      <c r="B103">
        <v>2.8</v>
      </c>
      <c r="C103">
        <v>4.9000000000000004</v>
      </c>
      <c r="D103">
        <v>2</v>
      </c>
      <c r="E103" s="3" t="s">
        <v>7</v>
      </c>
      <c r="F103" t="s">
        <v>18</v>
      </c>
    </row>
    <row r="104" spans="1:6" x14ac:dyDescent="0.2">
      <c r="A104">
        <v>7.7</v>
      </c>
      <c r="B104">
        <v>2.8</v>
      </c>
      <c r="C104">
        <v>6.7</v>
      </c>
      <c r="D104">
        <v>2</v>
      </c>
      <c r="E104" s="3" t="s">
        <v>7</v>
      </c>
      <c r="F104" t="s">
        <v>18</v>
      </c>
    </row>
    <row r="105" spans="1:6" x14ac:dyDescent="0.2">
      <c r="A105">
        <v>6.3</v>
      </c>
      <c r="B105">
        <v>2.7</v>
      </c>
      <c r="C105">
        <v>4.9000000000000004</v>
      </c>
      <c r="D105">
        <v>1.8</v>
      </c>
      <c r="E105" s="3" t="s">
        <v>7</v>
      </c>
      <c r="F105" t="s">
        <v>18</v>
      </c>
    </row>
    <row r="106" spans="1:6" x14ac:dyDescent="0.2">
      <c r="A106">
        <v>6.7</v>
      </c>
      <c r="B106">
        <v>3.3</v>
      </c>
      <c r="C106">
        <v>5.7</v>
      </c>
      <c r="D106">
        <v>2.1</v>
      </c>
      <c r="E106" s="3" t="s">
        <v>7</v>
      </c>
      <c r="F106" t="s">
        <v>18</v>
      </c>
    </row>
    <row r="107" spans="1:6" x14ac:dyDescent="0.2">
      <c r="A107">
        <v>7.2</v>
      </c>
      <c r="B107">
        <v>3.2</v>
      </c>
      <c r="C107">
        <v>6</v>
      </c>
      <c r="D107">
        <v>1.8</v>
      </c>
      <c r="E107" s="3" t="s">
        <v>7</v>
      </c>
      <c r="F107" t="s">
        <v>18</v>
      </c>
    </row>
    <row r="108" spans="1:6" x14ac:dyDescent="0.2">
      <c r="A108">
        <v>6.2</v>
      </c>
      <c r="B108">
        <v>2.8</v>
      </c>
      <c r="C108">
        <v>4.8</v>
      </c>
      <c r="D108">
        <v>1.8</v>
      </c>
      <c r="E108" s="3" t="s">
        <v>7</v>
      </c>
      <c r="F108" t="s">
        <v>18</v>
      </c>
    </row>
    <row r="109" spans="1:6" x14ac:dyDescent="0.2">
      <c r="A109">
        <v>6.1</v>
      </c>
      <c r="B109">
        <v>3</v>
      </c>
      <c r="C109">
        <v>4.9000000000000004</v>
      </c>
      <c r="D109">
        <v>1.8</v>
      </c>
      <c r="E109" s="3" t="s">
        <v>7</v>
      </c>
      <c r="F109" t="s">
        <v>18</v>
      </c>
    </row>
    <row r="110" spans="1:6" x14ac:dyDescent="0.2">
      <c r="A110">
        <v>6.4</v>
      </c>
      <c r="B110">
        <v>2.8</v>
      </c>
      <c r="C110">
        <v>5.6</v>
      </c>
      <c r="D110">
        <v>2.1</v>
      </c>
      <c r="E110" s="3" t="s">
        <v>7</v>
      </c>
      <c r="F110" t="s">
        <v>18</v>
      </c>
    </row>
    <row r="111" spans="1:6" x14ac:dyDescent="0.2">
      <c r="A111">
        <v>7.2</v>
      </c>
      <c r="B111">
        <v>3</v>
      </c>
      <c r="C111">
        <v>5.8</v>
      </c>
      <c r="D111">
        <v>1.6</v>
      </c>
      <c r="E111" s="3" t="s">
        <v>7</v>
      </c>
      <c r="F111" t="s">
        <v>18</v>
      </c>
    </row>
    <row r="112" spans="1:6" x14ac:dyDescent="0.2">
      <c r="A112">
        <v>7.4</v>
      </c>
      <c r="B112">
        <v>2.8</v>
      </c>
      <c r="C112">
        <v>6.1</v>
      </c>
      <c r="D112">
        <v>1.9</v>
      </c>
      <c r="E112" s="3" t="s">
        <v>7</v>
      </c>
      <c r="F112" t="s">
        <v>18</v>
      </c>
    </row>
    <row r="113" spans="1:6" x14ac:dyDescent="0.2">
      <c r="A113">
        <v>7.9</v>
      </c>
      <c r="B113">
        <v>3.8</v>
      </c>
      <c r="C113">
        <v>6.4</v>
      </c>
      <c r="D113">
        <v>2</v>
      </c>
      <c r="E113" s="3" t="s">
        <v>7</v>
      </c>
      <c r="F113" t="s">
        <v>18</v>
      </c>
    </row>
    <row r="114" spans="1:6" x14ac:dyDescent="0.2">
      <c r="A114">
        <v>6.4</v>
      </c>
      <c r="B114">
        <v>2.8</v>
      </c>
      <c r="C114">
        <v>5.6</v>
      </c>
      <c r="D114">
        <v>2.2000000000000002</v>
      </c>
      <c r="E114" s="3" t="s">
        <v>7</v>
      </c>
      <c r="F114" t="s">
        <v>18</v>
      </c>
    </row>
    <row r="115" spans="1:6" x14ac:dyDescent="0.2">
      <c r="A115">
        <v>6.3</v>
      </c>
      <c r="B115">
        <v>2.8</v>
      </c>
      <c r="C115">
        <v>5.0999999999999996</v>
      </c>
      <c r="D115">
        <v>1.5</v>
      </c>
      <c r="E115" s="3" t="s">
        <v>7</v>
      </c>
      <c r="F115" t="s">
        <v>18</v>
      </c>
    </row>
    <row r="116" spans="1:6" x14ac:dyDescent="0.2">
      <c r="A116">
        <v>6.7</v>
      </c>
      <c r="B116">
        <v>3.3</v>
      </c>
      <c r="C116">
        <v>5.7</v>
      </c>
      <c r="D116">
        <v>2.5</v>
      </c>
      <c r="E116" s="3" t="s">
        <v>7</v>
      </c>
      <c r="F116" t="s">
        <v>18</v>
      </c>
    </row>
    <row r="117" spans="1:6" x14ac:dyDescent="0.2">
      <c r="A117">
        <v>6.7</v>
      </c>
      <c r="B117">
        <v>3</v>
      </c>
      <c r="C117">
        <v>5.2</v>
      </c>
      <c r="D117">
        <v>2.2999999999999998</v>
      </c>
      <c r="E117" s="3" t="s">
        <v>7</v>
      </c>
      <c r="F117" t="s">
        <v>18</v>
      </c>
    </row>
    <row r="118" spans="1:6" x14ac:dyDescent="0.2">
      <c r="A118">
        <v>6.3</v>
      </c>
      <c r="B118">
        <v>2.5</v>
      </c>
      <c r="C118">
        <v>5</v>
      </c>
      <c r="D118">
        <v>1.9</v>
      </c>
      <c r="E118" s="3" t="s">
        <v>7</v>
      </c>
      <c r="F118" t="s">
        <v>18</v>
      </c>
    </row>
    <row r="119" spans="1:6" x14ac:dyDescent="0.2">
      <c r="A119">
        <v>6.5</v>
      </c>
      <c r="B119">
        <v>3</v>
      </c>
      <c r="C119">
        <v>5.2</v>
      </c>
      <c r="D119">
        <v>2</v>
      </c>
      <c r="E119" s="3" t="s">
        <v>7</v>
      </c>
      <c r="F119" t="s">
        <v>18</v>
      </c>
    </row>
    <row r="120" spans="1:6" x14ac:dyDescent="0.2">
      <c r="A120">
        <v>6.2</v>
      </c>
      <c r="B120">
        <v>3.4</v>
      </c>
      <c r="C120">
        <v>5.4</v>
      </c>
      <c r="D120">
        <v>2.2999999999999998</v>
      </c>
      <c r="E120" s="3" t="s">
        <v>7</v>
      </c>
      <c r="F120" t="s">
        <v>18</v>
      </c>
    </row>
    <row r="121" spans="1:6" x14ac:dyDescent="0.2">
      <c r="A121">
        <v>5.9</v>
      </c>
      <c r="B121">
        <v>3</v>
      </c>
      <c r="C121">
        <v>5.0999999999999996</v>
      </c>
      <c r="D121">
        <v>1.8</v>
      </c>
      <c r="E121" s="3" t="s">
        <v>7</v>
      </c>
      <c r="F121" t="s">
        <v>18</v>
      </c>
    </row>
  </sheetData>
  <autoFilter ref="A1:F121" xr:uid="{CC6FAED6-8FA7-2349-8781-FDB01F6A3352}">
    <filterColumn colId="5">
      <filters>
        <filter val="C3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222B-2E21-AA4B-A474-59FF3BBBF37E}">
  <dimension ref="A1:E30"/>
  <sheetViews>
    <sheetView workbookViewId="0">
      <selection activeCell="H23" sqref="H23"/>
    </sheetView>
  </sheetViews>
  <sheetFormatPr baseColWidth="10" defaultRowHeight="16" x14ac:dyDescent="0.2"/>
  <cols>
    <col min="5" max="5" width="14.1640625" customWidth="1"/>
  </cols>
  <sheetData>
    <row r="1" spans="1:5" x14ac:dyDescent="0.2">
      <c r="A1">
        <v>5</v>
      </c>
      <c r="B1">
        <v>3</v>
      </c>
      <c r="C1">
        <v>1.6</v>
      </c>
      <c r="D1">
        <v>0.2</v>
      </c>
      <c r="E1" t="s">
        <v>5</v>
      </c>
    </row>
    <row r="2" spans="1:5" x14ac:dyDescent="0.2">
      <c r="A2">
        <v>5</v>
      </c>
      <c r="B2">
        <v>3.4</v>
      </c>
      <c r="C2">
        <v>1.6</v>
      </c>
      <c r="D2">
        <v>0.4</v>
      </c>
      <c r="E2" t="s">
        <v>5</v>
      </c>
    </row>
    <row r="3" spans="1:5" x14ac:dyDescent="0.2">
      <c r="A3">
        <v>5.2</v>
      </c>
      <c r="B3">
        <v>3.5</v>
      </c>
      <c r="C3">
        <v>1.5</v>
      </c>
      <c r="D3">
        <v>0.2</v>
      </c>
      <c r="E3" t="s">
        <v>5</v>
      </c>
    </row>
    <row r="4" spans="1:5" x14ac:dyDescent="0.2">
      <c r="A4">
        <v>5.2</v>
      </c>
      <c r="B4">
        <v>3.4</v>
      </c>
      <c r="C4">
        <v>1.4</v>
      </c>
      <c r="D4">
        <v>0.2</v>
      </c>
      <c r="E4" t="s">
        <v>5</v>
      </c>
    </row>
    <row r="5" spans="1:5" x14ac:dyDescent="0.2">
      <c r="A5">
        <v>4.7</v>
      </c>
      <c r="B5">
        <v>3.2</v>
      </c>
      <c r="C5">
        <v>1.6</v>
      </c>
      <c r="D5">
        <v>0.2</v>
      </c>
      <c r="E5" t="s">
        <v>5</v>
      </c>
    </row>
    <row r="6" spans="1:5" x14ac:dyDescent="0.2">
      <c r="A6">
        <v>4.8</v>
      </c>
      <c r="B6">
        <v>3.1</v>
      </c>
      <c r="C6">
        <v>1.6</v>
      </c>
      <c r="D6">
        <v>0.2</v>
      </c>
      <c r="E6" t="s">
        <v>5</v>
      </c>
    </row>
    <row r="7" spans="1:5" x14ac:dyDescent="0.2">
      <c r="A7">
        <v>5.4</v>
      </c>
      <c r="B7">
        <v>3.4</v>
      </c>
      <c r="C7">
        <v>1.5</v>
      </c>
      <c r="D7">
        <v>0.4</v>
      </c>
      <c r="E7" t="s">
        <v>5</v>
      </c>
    </row>
    <row r="8" spans="1:5" x14ac:dyDescent="0.2">
      <c r="A8">
        <v>5.2</v>
      </c>
      <c r="B8">
        <v>4.0999999999999996</v>
      </c>
      <c r="C8">
        <v>1.5</v>
      </c>
      <c r="D8">
        <v>0.1</v>
      </c>
      <c r="E8" t="s">
        <v>5</v>
      </c>
    </row>
    <row r="9" spans="1:5" x14ac:dyDescent="0.2">
      <c r="A9">
        <v>5.5</v>
      </c>
      <c r="B9">
        <v>4.2</v>
      </c>
      <c r="C9">
        <v>1.4</v>
      </c>
      <c r="D9">
        <v>0.2</v>
      </c>
      <c r="E9" t="s">
        <v>5</v>
      </c>
    </row>
    <row r="10" spans="1:5" x14ac:dyDescent="0.2">
      <c r="A10">
        <v>4.9000000000000004</v>
      </c>
      <c r="B10">
        <v>3.1</v>
      </c>
      <c r="C10">
        <v>1.5</v>
      </c>
      <c r="D10">
        <v>0.1</v>
      </c>
      <c r="E10" t="s">
        <v>5</v>
      </c>
    </row>
    <row r="11" spans="1:5" x14ac:dyDescent="0.2">
      <c r="A11">
        <v>5.5</v>
      </c>
      <c r="B11">
        <v>2.4</v>
      </c>
      <c r="C11">
        <v>3.8</v>
      </c>
      <c r="D11">
        <v>1.1000000000000001</v>
      </c>
      <c r="E11" t="s">
        <v>6</v>
      </c>
    </row>
    <row r="12" spans="1:5" x14ac:dyDescent="0.2">
      <c r="A12">
        <v>5.5</v>
      </c>
      <c r="B12">
        <v>2.4</v>
      </c>
      <c r="C12">
        <v>3.7</v>
      </c>
      <c r="D12">
        <v>1</v>
      </c>
      <c r="E12" t="s">
        <v>6</v>
      </c>
    </row>
    <row r="13" spans="1:5" x14ac:dyDescent="0.2">
      <c r="A13">
        <v>5.8</v>
      </c>
      <c r="B13">
        <v>2.7</v>
      </c>
      <c r="C13">
        <v>3.9</v>
      </c>
      <c r="D13">
        <v>1.2</v>
      </c>
      <c r="E13" t="s">
        <v>6</v>
      </c>
    </row>
    <row r="14" spans="1:5" x14ac:dyDescent="0.2">
      <c r="A14">
        <v>6</v>
      </c>
      <c r="B14">
        <v>2.7</v>
      </c>
      <c r="C14">
        <v>5.0999999999999996</v>
      </c>
      <c r="D14">
        <v>1.6</v>
      </c>
      <c r="E14" t="s">
        <v>6</v>
      </c>
    </row>
    <row r="15" spans="1:5" x14ac:dyDescent="0.2">
      <c r="A15">
        <v>5.4</v>
      </c>
      <c r="B15">
        <v>3</v>
      </c>
      <c r="C15">
        <v>4.5</v>
      </c>
      <c r="D15">
        <v>1.5</v>
      </c>
      <c r="E15" t="s">
        <v>6</v>
      </c>
    </row>
    <row r="16" spans="1:5" x14ac:dyDescent="0.2">
      <c r="A16">
        <v>6</v>
      </c>
      <c r="B16">
        <v>3.4</v>
      </c>
      <c r="C16">
        <v>4.5</v>
      </c>
      <c r="D16">
        <v>1.6</v>
      </c>
      <c r="E16" t="s">
        <v>6</v>
      </c>
    </row>
    <row r="17" spans="1:5" x14ac:dyDescent="0.2">
      <c r="A17">
        <v>6.7</v>
      </c>
      <c r="B17">
        <v>3.1</v>
      </c>
      <c r="C17">
        <v>4.7</v>
      </c>
      <c r="D17">
        <v>1.5</v>
      </c>
      <c r="E17" t="s">
        <v>6</v>
      </c>
    </row>
    <row r="18" spans="1:5" x14ac:dyDescent="0.2">
      <c r="A18">
        <v>6.3</v>
      </c>
      <c r="B18">
        <v>2.2999999999999998</v>
      </c>
      <c r="C18">
        <v>4.4000000000000004</v>
      </c>
      <c r="D18">
        <v>1.3</v>
      </c>
      <c r="E18" t="s">
        <v>6</v>
      </c>
    </row>
    <row r="19" spans="1:5" x14ac:dyDescent="0.2">
      <c r="A19">
        <v>5.6</v>
      </c>
      <c r="B19">
        <v>3</v>
      </c>
      <c r="C19">
        <v>4.0999999999999996</v>
      </c>
      <c r="D19">
        <v>1.3</v>
      </c>
      <c r="E19" t="s">
        <v>6</v>
      </c>
    </row>
    <row r="20" spans="1:5" x14ac:dyDescent="0.2">
      <c r="A20">
        <v>5.5</v>
      </c>
      <c r="B20">
        <v>2.5</v>
      </c>
      <c r="C20">
        <v>4</v>
      </c>
      <c r="D20">
        <v>1.3</v>
      </c>
      <c r="E20" t="s">
        <v>6</v>
      </c>
    </row>
    <row r="21" spans="1:5" x14ac:dyDescent="0.2">
      <c r="A21">
        <v>6.1</v>
      </c>
      <c r="B21">
        <v>2.6</v>
      </c>
      <c r="C21">
        <v>5.6</v>
      </c>
      <c r="D21">
        <v>1.4</v>
      </c>
      <c r="E21" t="s">
        <v>7</v>
      </c>
    </row>
    <row r="22" spans="1:5" x14ac:dyDescent="0.2">
      <c r="A22">
        <v>7.7</v>
      </c>
      <c r="B22">
        <v>3</v>
      </c>
      <c r="C22">
        <v>6.1</v>
      </c>
      <c r="D22">
        <v>2.2999999999999998</v>
      </c>
      <c r="E22" t="s">
        <v>7</v>
      </c>
    </row>
    <row r="23" spans="1:5" x14ac:dyDescent="0.2">
      <c r="A23">
        <v>6.3</v>
      </c>
      <c r="B23">
        <v>3.4</v>
      </c>
      <c r="C23">
        <v>5.6</v>
      </c>
      <c r="D23">
        <v>2.4</v>
      </c>
      <c r="E23" t="s">
        <v>7</v>
      </c>
    </row>
    <row r="24" spans="1:5" x14ac:dyDescent="0.2">
      <c r="A24">
        <v>6.4</v>
      </c>
      <c r="B24">
        <v>3.1</v>
      </c>
      <c r="C24">
        <v>5.5</v>
      </c>
      <c r="D24">
        <v>1.8</v>
      </c>
      <c r="E24" t="s">
        <v>7</v>
      </c>
    </row>
    <row r="25" spans="1:5" x14ac:dyDescent="0.2">
      <c r="A25">
        <v>6</v>
      </c>
      <c r="B25">
        <v>3</v>
      </c>
      <c r="C25">
        <v>4.8</v>
      </c>
      <c r="D25">
        <v>1.8</v>
      </c>
      <c r="E25" t="s">
        <v>7</v>
      </c>
    </row>
    <row r="26" spans="1:5" x14ac:dyDescent="0.2">
      <c r="A26">
        <v>6.9</v>
      </c>
      <c r="B26">
        <v>3.1</v>
      </c>
      <c r="C26">
        <v>5.4</v>
      </c>
      <c r="D26">
        <v>2.1</v>
      </c>
      <c r="E26" t="s">
        <v>7</v>
      </c>
    </row>
    <row r="27" spans="1:5" x14ac:dyDescent="0.2">
      <c r="A27">
        <v>6.7</v>
      </c>
      <c r="B27">
        <v>3.1</v>
      </c>
      <c r="C27">
        <v>5.6</v>
      </c>
      <c r="D27">
        <v>2.4</v>
      </c>
      <c r="E27" t="s">
        <v>7</v>
      </c>
    </row>
    <row r="28" spans="1:5" x14ac:dyDescent="0.2">
      <c r="A28">
        <v>6.9</v>
      </c>
      <c r="B28">
        <v>3.1</v>
      </c>
      <c r="C28">
        <v>5.0999999999999996</v>
      </c>
      <c r="D28">
        <v>2.2999999999999998</v>
      </c>
      <c r="E28" t="s">
        <v>7</v>
      </c>
    </row>
    <row r="29" spans="1:5" x14ac:dyDescent="0.2">
      <c r="A29">
        <v>5.8</v>
      </c>
      <c r="B29">
        <v>2.7</v>
      </c>
      <c r="C29">
        <v>5.0999999999999996</v>
      </c>
      <c r="D29">
        <v>1.9</v>
      </c>
      <c r="E29" t="s">
        <v>7</v>
      </c>
    </row>
    <row r="30" spans="1:5" x14ac:dyDescent="0.2">
      <c r="A30">
        <v>6.8</v>
      </c>
      <c r="B30">
        <v>3.2</v>
      </c>
      <c r="C30">
        <v>5.9</v>
      </c>
      <c r="D30">
        <v>2.2999999999999998</v>
      </c>
      <c r="E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Clase</vt:lpstr>
      <vt:lpstr>Clase (2)</vt:lpstr>
      <vt:lpstr>Sheet2</vt:lpstr>
      <vt:lpstr>Casa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Ruiz Alejandro Humberto</cp:lastModifiedBy>
  <dcterms:created xsi:type="dcterms:W3CDTF">2026-09-24T14:11:58Z</dcterms:created>
  <dcterms:modified xsi:type="dcterms:W3CDTF">2026-09-24T14:59:13Z</dcterms:modified>
</cp:coreProperties>
</file>